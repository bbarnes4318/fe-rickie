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4B982437-1AE2-43C8-87BC-184C1E98B90E}" xr6:coauthVersionLast="47" xr6:coauthVersionMax="47" xr10:uidLastSave="{00000000-0000-0000-0000-000000000000}"/>
  <bookViews>
    <workbookView xWindow="240" yWindow="105" windowWidth="14805" windowHeight="8010" firstSheet="1" activeTab="7" xr2:uid="{00000000-000D-0000-FFFF-FFFF00000000}"/>
  </bookViews>
  <sheets>
    <sheet name="Key" sheetId="2" r:id="rId1"/>
    <sheet name="aflac" sheetId="1" r:id="rId2"/>
    <sheet name="SBLI" sheetId="4" r:id="rId3"/>
    <sheet name="CICA" sheetId="5" r:id="rId4"/>
    <sheet name="gtl" sheetId="3" r:id="rId5"/>
    <sheet name="TransAmerica" sheetId="6" r:id="rId6"/>
    <sheet name="TransAmerica Graded" sheetId="7" r:id="rId7"/>
    <sheet name="Corebridge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2" i="1"/>
  <c r="I13" i="1"/>
  <c r="I9" i="1"/>
  <c r="I10" i="1"/>
  <c r="H25" i="1"/>
</calcChain>
</file>

<file path=xl/sharedStrings.xml><?xml version="1.0" encoding="utf-8"?>
<sst xmlns="http://schemas.openxmlformats.org/spreadsheetml/2006/main" count="61" uniqueCount="25">
  <si>
    <t>carrier</t>
  </si>
  <si>
    <t>Aflac</t>
  </si>
  <si>
    <t>GTL</t>
  </si>
  <si>
    <t>CICA</t>
  </si>
  <si>
    <t>SBLI</t>
  </si>
  <si>
    <t>TransAmerica</t>
  </si>
  <si>
    <t>fee</t>
  </si>
  <si>
    <t>monthly_factor</t>
  </si>
  <si>
    <t>Age</t>
  </si>
  <si>
    <t>Male Non-Smoker</t>
  </si>
  <si>
    <t>Male Smoker</t>
  </si>
  <si>
    <t>Female Non-Smoker</t>
  </si>
  <si>
    <t>Female Smoker</t>
  </si>
  <si>
    <t>sbli</t>
  </si>
  <si>
    <t>aflac</t>
  </si>
  <si>
    <t>cica</t>
  </si>
  <si>
    <t>((((coverage amount/1000*cost per $1000)+annual policy fee)*monthly rating factor)+((coverage amount/1000*cost per $1000)+annual policy fee))/12</t>
  </si>
  <si>
    <t>trans</t>
  </si>
  <si>
    <t>gtl</t>
  </si>
  <si>
    <t>Male Non-Smoker</t>
  </si>
  <si>
    <t>Male Smoker</t>
  </si>
  <si>
    <t>Female Non-Smoker</t>
  </si>
  <si>
    <t>Female Smoker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</si>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</sst>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"/>
    <numFmt numFmtId="165" formatCode="&quot;$&quot;#,##0.00"/>
    <numFmt numFmtId="166" formatCode="[$$-809]#,##0"/>
  </numFmts>
  <fonts count="16">
    <font>
      <sz val="11"/>
      <color theme="1"/>
      <name val="Aptos Narrow"/>
      <family val="2"/>
      <scheme val="minor"/>
    </font>
    <font>
      <b/>
      <sz val="9"/>
      <color rgb="FF000000"/>
      <name val="Calibri"/>
      <scheme val="minor"/>
    </font>
    <font>
      <sz val="9"/>
      <color rgb="FF000000"/>
      <name val="Calibri"/>
      <scheme val="minor"/>
    </font>
    <font>
      <sz val="9"/>
      <color theme="1"/>
      <name val="Calibri"/>
    </font>
    <font>
      <sz val="9"/>
      <color theme="1"/>
      <name val="Aptos Narrow"/>
      <family val="2"/>
      <scheme val="minor"/>
    </font>
    <font>
      <sz val="11"/>
      <color theme="1"/>
      <name val="Calibri"/>
    </font>
    <font>
      <b/>
      <sz val="9"/>
      <color theme="1"/>
      <name val="Calibri"/>
    </font>
    <font>
      <b/>
      <sz val="11"/>
      <color theme="1"/>
      <name val="Calibri"/>
    </font>
    <font>
      <b/>
      <sz val="8"/>
      <color theme="1"/>
      <name val="Calibri"/>
    </font>
    <font>
      <b/>
      <sz val="9"/>
      <name val="Calibri"/>
      <scheme val="minor"/>
    </font>
    <font>
      <b/>
      <sz val="12"/>
      <color rgb="FF334155"/>
      <name val="Inherit"/>
      <charset val="1"/>
    </font>
    <font>
      <b/>
      <sz val="12"/>
      <color rgb="FF16A34A"/>
      <name val="Inherit"/>
      <charset val="1"/>
    </font>
    <font>
      <b/>
      <sz val="12"/>
      <color rgb="FF1D4ED8"/>
      <name val="Inherit"/>
      <charset val="1"/>
    </font>
    <font>
      <b/>
      <sz val="12"/>
      <color rgb="FF2563EB"/>
      <name val="Inherit"/>
      <charset val="1"/>
    </font>
    <font>
      <sz val="9"/>
      <name val="Calibri"/>
      <scheme val="minor"/>
    </font>
    <font>
      <sz val="9"/>
      <color rgb="FF41345B"/>
      <name val="Calibri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1" fontId="2" fillId="0" borderId="7" xfId="0" applyNumberFormat="1" applyFont="1" applyBorder="1" applyAlignment="1">
      <alignment horizontal="center" vertical="top" indent="1" shrinkToFit="1"/>
    </xf>
    <xf numFmtId="1" fontId="2" fillId="0" borderId="8" xfId="0" applyNumberFormat="1" applyFont="1" applyBorder="1" applyAlignment="1">
      <alignment horizontal="center" vertical="top" indent="1" shrinkToFit="1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165" fontId="2" fillId="0" borderId="6" xfId="0" applyNumberFormat="1" applyFont="1" applyBorder="1" applyAlignment="1">
      <alignment horizontal="right" vertical="top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6" fillId="0" borderId="1" xfId="0" applyFont="1" applyBorder="1"/>
    <xf numFmtId="0" fontId="6" fillId="0" borderId="5" xfId="0" applyFont="1" applyBorder="1"/>
    <xf numFmtId="0" fontId="6" fillId="0" borderId="6" xfId="0" applyFont="1" applyBorder="1"/>
    <xf numFmtId="0" fontId="3" fillId="0" borderId="0" xfId="0" applyFont="1" applyBorder="1"/>
    <xf numFmtId="0" fontId="3" fillId="0" borderId="3" xfId="0" applyFont="1" applyBorder="1"/>
    <xf numFmtId="8" fontId="3" fillId="0" borderId="4" xfId="0" applyNumberFormat="1" applyFont="1" applyBorder="1"/>
    <xf numFmtId="0" fontId="3" fillId="0" borderId="4" xfId="0" applyFont="1" applyBorder="1"/>
    <xf numFmtId="0" fontId="7" fillId="0" borderId="0" xfId="0" applyFont="1"/>
    <xf numFmtId="0" fontId="6" fillId="0" borderId="0" xfId="0" applyFont="1"/>
    <xf numFmtId="0" fontId="3" fillId="0" borderId="1" xfId="0" applyFont="1" applyBorder="1" applyAlignment="1">
      <alignment wrapText="1"/>
    </xf>
    <xf numFmtId="8" fontId="3" fillId="0" borderId="2" xfId="0" applyNumberFormat="1" applyFont="1" applyBorder="1" applyAlignment="1">
      <alignment wrapText="1"/>
    </xf>
    <xf numFmtId="0" fontId="3" fillId="0" borderId="3" xfId="0" applyFont="1" applyBorder="1" applyAlignment="1">
      <alignment wrapText="1"/>
    </xf>
    <xf numFmtId="8" fontId="3" fillId="0" borderId="4" xfId="0" applyNumberFormat="1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6" fillId="0" borderId="0" xfId="0" applyFont="1" applyBorder="1"/>
    <xf numFmtId="0" fontId="6" fillId="0" borderId="1" xfId="0" applyFont="1" applyBorder="1" applyAlignment="1"/>
    <xf numFmtId="0" fontId="6" fillId="0" borderId="2" xfId="0" applyFont="1" applyBorder="1" applyAlignment="1"/>
    <xf numFmtId="0" fontId="3" fillId="0" borderId="0" xfId="0" applyFont="1" applyBorder="1" applyAlignment="1">
      <alignment wrapText="1"/>
    </xf>
    <xf numFmtId="8" fontId="3" fillId="0" borderId="0" xfId="0" applyNumberFormat="1" applyFont="1" applyBorder="1" applyAlignment="1">
      <alignment wrapText="1"/>
    </xf>
    <xf numFmtId="0" fontId="6" fillId="0" borderId="2" xfId="0" applyFont="1" applyBorder="1"/>
    <xf numFmtId="0" fontId="8" fillId="0" borderId="0" xfId="0" applyFont="1" applyBorder="1" applyAlignment="1">
      <alignment horizontal="right"/>
    </xf>
    <xf numFmtId="164" fontId="5" fillId="0" borderId="0" xfId="0" applyNumberFormat="1" applyFont="1"/>
    <xf numFmtId="0" fontId="9" fillId="0" borderId="6" xfId="0" applyFont="1" applyBorder="1"/>
    <xf numFmtId="0" fontId="1" fillId="0" borderId="6" xfId="0" applyFont="1" applyBorder="1" applyAlignment="1">
      <alignment horizontal="left"/>
    </xf>
    <xf numFmtId="0" fontId="1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vertical="top" wrapText="1"/>
    </xf>
    <xf numFmtId="1" fontId="2" fillId="0" borderId="6" xfId="0" applyNumberFormat="1" applyFont="1" applyBorder="1" applyAlignment="1">
      <alignment horizontal="center" vertical="top" indent="1" shrinkToFit="1"/>
    </xf>
    <xf numFmtId="165" fontId="3" fillId="0" borderId="0" xfId="0" applyNumberFormat="1" applyFont="1"/>
    <xf numFmtId="0" fontId="10" fillId="0" borderId="0" xfId="0" applyFont="1" applyBorder="1" applyAlignment="1">
      <alignment wrapText="1"/>
    </xf>
    <xf numFmtId="8" fontId="11" fillId="0" borderId="0" xfId="0" applyNumberFormat="1" applyFont="1" applyBorder="1" applyAlignment="1">
      <alignment wrapText="1"/>
    </xf>
    <xf numFmtId="0" fontId="12" fillId="0" borderId="0" xfId="0" applyFont="1" applyBorder="1" applyAlignment="1">
      <alignment wrapText="1"/>
    </xf>
    <xf numFmtId="8" fontId="13" fillId="0" borderId="0" xfId="0" applyNumberFormat="1" applyFont="1" applyBorder="1" applyAlignment="1">
      <alignment wrapText="1"/>
    </xf>
    <xf numFmtId="0" fontId="3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9" fillId="0" borderId="0" xfId="0" applyFont="1"/>
    <xf numFmtId="166" fontId="14" fillId="0" borderId="0" xfId="0" applyNumberFormat="1" applyFont="1"/>
    <xf numFmtId="1" fontId="15" fillId="0" borderId="0" xfId="0" applyNumberFormat="1" applyFont="1" applyAlignment="1">
      <alignment horizontal="center"/>
    </xf>
    <xf numFmtId="2" fontId="1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E4FA-D071-4093-B991-6331C1E01FBA}">
  <dimension ref="A1:F3"/>
  <sheetViews>
    <sheetView workbookViewId="0">
      <selection activeCell="E3" sqref="E3"/>
    </sheetView>
  </sheetViews>
  <sheetFormatPr defaultRowHeight="15"/>
  <cols>
    <col min="1" max="1" width="19.5703125" style="17" customWidth="1"/>
    <col min="2" max="2" width="14.140625" style="7" customWidth="1"/>
    <col min="3" max="3" width="13.7109375" style="7" customWidth="1"/>
    <col min="4" max="4" width="13.140625" style="7" customWidth="1"/>
    <col min="5" max="5" width="13.5703125" style="7" customWidth="1"/>
    <col min="6" max="6" width="13.140625" style="7" bestFit="1" customWidth="1"/>
    <col min="7" max="16384" width="9.140625" style="7"/>
  </cols>
  <sheetData>
    <row r="1" spans="1:6" s="17" customFormat="1">
      <c r="A1" s="3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</row>
    <row r="2" spans="1:6">
      <c r="A2" s="17" t="s">
        <v>6</v>
      </c>
      <c r="B2" s="32">
        <v>48</v>
      </c>
      <c r="C2" s="32">
        <v>48</v>
      </c>
      <c r="D2" s="7">
        <v>0</v>
      </c>
      <c r="E2" s="32">
        <v>48</v>
      </c>
      <c r="F2" s="7">
        <v>48</v>
      </c>
    </row>
    <row r="3" spans="1:6">
      <c r="A3" s="17" t="s">
        <v>7</v>
      </c>
      <c r="B3" s="7">
        <v>8.7499999999999994E-2</v>
      </c>
      <c r="C3" s="7">
        <v>8.3330000000000001E-2</v>
      </c>
      <c r="D3" s="7">
        <v>1</v>
      </c>
      <c r="E3" s="7">
        <v>8.6999999999999994E-2</v>
      </c>
      <c r="F3" s="7">
        <v>8.7499999999999994E-2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H14" sqref="H14"/>
    </sheetView>
  </sheetViews>
  <sheetFormatPr defaultRowHeight="12" customHeight="1"/>
  <cols>
    <col min="1" max="1" width="11.28515625" style="8" customWidth="1"/>
    <col min="2" max="3" width="15.28515625" style="8" customWidth="1"/>
    <col min="4" max="5" width="15.85546875" style="8" customWidth="1"/>
    <col min="6" max="11" width="9.140625" style="8"/>
    <col min="12" max="12" width="18.5703125" style="8" customWidth="1"/>
    <col min="13" max="13" width="36.5703125" style="8" bestFit="1" customWidth="1"/>
    <col min="14" max="16384" width="9.140625" style="8"/>
  </cols>
  <sheetData>
    <row r="1" spans="1:13" ht="12" customHeight="1">
      <c r="A1" s="10" t="s">
        <v>8</v>
      </c>
      <c r="B1" s="30" t="s">
        <v>9</v>
      </c>
      <c r="C1" s="30" t="s">
        <v>10</v>
      </c>
      <c r="D1" s="30" t="s">
        <v>11</v>
      </c>
      <c r="E1" s="30" t="s">
        <v>12</v>
      </c>
    </row>
    <row r="2" spans="1:13" ht="12" customHeight="1">
      <c r="A2" s="14">
        <v>45</v>
      </c>
      <c r="B2" s="15">
        <v>28.97</v>
      </c>
      <c r="C2" s="15">
        <v>45.4</v>
      </c>
      <c r="D2" s="15">
        <v>24</v>
      </c>
      <c r="E2" s="15">
        <v>36.700000000000003</v>
      </c>
      <c r="H2" s="8" t="s">
        <v>13</v>
      </c>
      <c r="I2" s="38">
        <v>91.670333333333346</v>
      </c>
    </row>
    <row r="3" spans="1:13" ht="12" customHeight="1">
      <c r="A3" s="14">
        <v>46</v>
      </c>
      <c r="B3" s="15">
        <v>29.87</v>
      </c>
      <c r="C3" s="15">
        <v>45.83</v>
      </c>
      <c r="D3" s="15">
        <v>24.41</v>
      </c>
      <c r="E3" s="15">
        <v>37.049999999999997</v>
      </c>
      <c r="H3" s="8" t="s">
        <v>14</v>
      </c>
      <c r="I3" s="38">
        <v>77.756250000000009</v>
      </c>
    </row>
    <row r="4" spans="1:13" ht="12" customHeight="1">
      <c r="A4" s="14">
        <v>47</v>
      </c>
      <c r="B4" s="15">
        <v>30.78</v>
      </c>
      <c r="C4" s="15">
        <v>46.29</v>
      </c>
      <c r="D4" s="15">
        <v>24.81</v>
      </c>
      <c r="E4" s="15">
        <v>37.43</v>
      </c>
      <c r="H4" s="8" t="s">
        <v>15</v>
      </c>
      <c r="I4" s="38">
        <v>87.316666666666663</v>
      </c>
      <c r="M4" s="43" t="s">
        <v>16</v>
      </c>
    </row>
    <row r="5" spans="1:13" ht="12" customHeight="1">
      <c r="A5" s="14">
        <v>48</v>
      </c>
      <c r="B5" s="15">
        <v>31.68</v>
      </c>
      <c r="C5" s="15">
        <v>46.76</v>
      </c>
      <c r="D5" s="15">
        <v>25.22</v>
      </c>
      <c r="E5" s="15">
        <v>37.81</v>
      </c>
      <c r="H5" s="8" t="s">
        <v>17</v>
      </c>
      <c r="I5" s="38">
        <v>95.681874999999991</v>
      </c>
    </row>
    <row r="6" spans="1:13" ht="12" customHeight="1">
      <c r="A6" s="14">
        <v>49</v>
      </c>
      <c r="B6" s="15">
        <v>32.590000000000003</v>
      </c>
      <c r="C6" s="15">
        <v>47.23</v>
      </c>
      <c r="D6" s="15">
        <v>25.62</v>
      </c>
      <c r="E6" s="15">
        <v>38.19</v>
      </c>
      <c r="H6" s="8" t="s">
        <v>18</v>
      </c>
      <c r="I6" s="38">
        <v>130.72182000000001</v>
      </c>
    </row>
    <row r="7" spans="1:13" ht="12" customHeight="1">
      <c r="A7" s="14">
        <v>50</v>
      </c>
      <c r="B7" s="15">
        <v>33.49</v>
      </c>
      <c r="C7" s="15">
        <v>47.71</v>
      </c>
      <c r="D7" s="15">
        <v>26.03</v>
      </c>
      <c r="E7" s="15">
        <v>38.57</v>
      </c>
    </row>
    <row r="8" spans="1:13" ht="12" customHeight="1">
      <c r="A8" s="14">
        <v>51</v>
      </c>
      <c r="B8" s="15">
        <v>34.58</v>
      </c>
      <c r="C8" s="15">
        <v>50</v>
      </c>
      <c r="D8" s="15">
        <v>26.6</v>
      </c>
      <c r="E8" s="15">
        <v>40.17</v>
      </c>
    </row>
    <row r="9" spans="1:13" ht="12" customHeight="1">
      <c r="A9" s="14">
        <v>52</v>
      </c>
      <c r="B9" s="15">
        <v>35.67</v>
      </c>
      <c r="C9" s="15">
        <v>52.28</v>
      </c>
      <c r="D9" s="15">
        <v>27.16</v>
      </c>
      <c r="E9" s="15">
        <v>41.77</v>
      </c>
      <c r="F9" s="8">
        <v>20000</v>
      </c>
      <c r="G9" s="8" t="s">
        <v>13</v>
      </c>
      <c r="H9" s="8">
        <v>38.5</v>
      </c>
      <c r="I9" s="38">
        <f>((((($F$9/1000)*H9)+48)*0.087)+((($F$9/1000)*H9)+48))/12</f>
        <v>74.097166666666666</v>
      </c>
      <c r="L9" s="39" t="s">
        <v>1</v>
      </c>
    </row>
    <row r="10" spans="1:13" ht="12" customHeight="1">
      <c r="A10" s="14">
        <v>53</v>
      </c>
      <c r="B10" s="15">
        <v>36.75</v>
      </c>
      <c r="C10" s="15">
        <v>54.57</v>
      </c>
      <c r="D10" s="15">
        <v>27.73</v>
      </c>
      <c r="E10" s="15">
        <v>43.37</v>
      </c>
      <c r="G10" s="8" t="s">
        <v>14</v>
      </c>
      <c r="H10" s="8">
        <v>30.04</v>
      </c>
      <c r="I10" s="38">
        <f>((((($F$9/1000)*H10)+48)*0.0875)+((($F$9/1000)*H10)+48))/12</f>
        <v>58.797499999999992</v>
      </c>
      <c r="L10" s="40">
        <v>59.4</v>
      </c>
    </row>
    <row r="11" spans="1:13" ht="12" customHeight="1">
      <c r="A11" s="14">
        <v>54</v>
      </c>
      <c r="B11" s="15">
        <v>37.840000000000003</v>
      </c>
      <c r="C11" s="15">
        <v>56.85</v>
      </c>
      <c r="D11" s="15">
        <v>28.29</v>
      </c>
      <c r="E11" s="15">
        <v>44.97</v>
      </c>
      <c r="G11" s="8" t="s">
        <v>15</v>
      </c>
      <c r="H11" s="8">
        <v>46.77</v>
      </c>
      <c r="I11" s="38">
        <f>((($F$9/1000)*H11))/12</f>
        <v>77.95</v>
      </c>
      <c r="L11" s="39" t="s">
        <v>4</v>
      </c>
    </row>
    <row r="12" spans="1:13" ht="12" customHeight="1">
      <c r="A12" s="14">
        <v>55</v>
      </c>
      <c r="B12" s="15">
        <v>38.93</v>
      </c>
      <c r="C12" s="15">
        <v>59.14</v>
      </c>
      <c r="D12" s="15">
        <v>28.86</v>
      </c>
      <c r="E12" s="15">
        <v>46.57</v>
      </c>
      <c r="G12" s="8" t="s">
        <v>17</v>
      </c>
      <c r="H12" s="8">
        <v>39.58</v>
      </c>
      <c r="I12" s="38">
        <f>((((($F$9/1000)*H12)+48)*0.0875)+((($F$9/1000)*H12)+48))/12</f>
        <v>76.08874999999999</v>
      </c>
      <c r="L12" s="40">
        <v>69.84</v>
      </c>
    </row>
    <row r="13" spans="1:13" ht="12" customHeight="1">
      <c r="A13" s="14">
        <v>56</v>
      </c>
      <c r="B13" s="15">
        <v>40.5</v>
      </c>
      <c r="C13" s="15">
        <v>61.42</v>
      </c>
      <c r="D13" s="15">
        <v>30.04</v>
      </c>
      <c r="E13" s="15">
        <v>48.17</v>
      </c>
      <c r="G13" s="8" t="s">
        <v>18</v>
      </c>
      <c r="H13" s="8">
        <v>53</v>
      </c>
      <c r="I13" s="38">
        <f>((((($F$9/1000)*H13)+48)*0.08333)+((($F$9/1000)*H13)+48))/12</f>
        <v>100.02746999999999</v>
      </c>
      <c r="L13" s="39" t="s">
        <v>3</v>
      </c>
    </row>
    <row r="14" spans="1:13" ht="12" customHeight="1">
      <c r="A14" s="14">
        <v>57</v>
      </c>
      <c r="B14" s="15">
        <v>42.08</v>
      </c>
      <c r="C14" s="15">
        <v>63.71</v>
      </c>
      <c r="D14" s="15">
        <v>31.23</v>
      </c>
      <c r="E14" s="15">
        <v>49.77</v>
      </c>
      <c r="L14" s="40">
        <v>130.97999999999999</v>
      </c>
    </row>
    <row r="15" spans="1:13" ht="12" customHeight="1">
      <c r="A15" s="14">
        <v>58</v>
      </c>
      <c r="B15" s="15">
        <v>43.66</v>
      </c>
      <c r="C15" s="15">
        <v>66</v>
      </c>
      <c r="D15" s="15">
        <v>32.42</v>
      </c>
      <c r="E15" s="15">
        <v>51.37</v>
      </c>
      <c r="L15" s="39" t="s">
        <v>2</v>
      </c>
    </row>
    <row r="16" spans="1:13" ht="12" customHeight="1">
      <c r="A16" s="14">
        <v>59</v>
      </c>
      <c r="B16" s="15">
        <v>45.23</v>
      </c>
      <c r="C16" s="15">
        <v>68.28</v>
      </c>
      <c r="D16" s="15">
        <v>33.61</v>
      </c>
      <c r="E16" s="15">
        <v>52.97</v>
      </c>
      <c r="L16" s="40">
        <v>99.12</v>
      </c>
    </row>
    <row r="17" spans="1:12" ht="12" customHeight="1">
      <c r="A17" s="14">
        <v>60</v>
      </c>
      <c r="B17" s="15">
        <v>46.81</v>
      </c>
      <c r="C17" s="15">
        <v>70.569999999999993</v>
      </c>
      <c r="D17" s="15">
        <v>34.799999999999997</v>
      </c>
      <c r="E17" s="15">
        <v>54.57</v>
      </c>
      <c r="L17" s="41" t="s">
        <v>5</v>
      </c>
    </row>
    <row r="18" spans="1:12" ht="12" customHeight="1">
      <c r="A18" s="14">
        <v>61</v>
      </c>
      <c r="B18" s="15">
        <v>49.24</v>
      </c>
      <c r="C18" s="15">
        <v>75.48</v>
      </c>
      <c r="D18" s="15">
        <v>36.93</v>
      </c>
      <c r="E18" s="15">
        <v>57.31</v>
      </c>
      <c r="L18" s="42">
        <v>98.62</v>
      </c>
    </row>
    <row r="19" spans="1:12" ht="12" customHeight="1">
      <c r="A19" s="14">
        <v>62</v>
      </c>
      <c r="B19" s="15">
        <v>51.67</v>
      </c>
      <c r="C19" s="15">
        <v>80.400000000000006</v>
      </c>
      <c r="D19" s="15">
        <v>39.06</v>
      </c>
      <c r="E19" s="15">
        <v>60.06</v>
      </c>
    </row>
    <row r="20" spans="1:12" ht="12" customHeight="1">
      <c r="A20" s="14">
        <v>63</v>
      </c>
      <c r="B20" s="15">
        <v>54.11</v>
      </c>
      <c r="C20" s="15">
        <v>85.31</v>
      </c>
      <c r="D20" s="15">
        <v>41.2</v>
      </c>
      <c r="E20" s="15">
        <v>62.8</v>
      </c>
    </row>
    <row r="21" spans="1:12" ht="12" customHeight="1">
      <c r="A21" s="14">
        <v>64</v>
      </c>
      <c r="B21" s="15">
        <v>56.54</v>
      </c>
      <c r="C21" s="15">
        <v>90.23</v>
      </c>
      <c r="D21" s="15">
        <v>43.33</v>
      </c>
      <c r="E21" s="15">
        <v>65.540000000000006</v>
      </c>
    </row>
    <row r="22" spans="1:12" ht="12" customHeight="1">
      <c r="A22" s="14">
        <v>65</v>
      </c>
      <c r="B22" s="15">
        <v>58.98</v>
      </c>
      <c r="C22" s="15">
        <v>95.14</v>
      </c>
      <c r="D22" s="15">
        <v>45.47</v>
      </c>
      <c r="E22" s="15">
        <v>68.290000000000006</v>
      </c>
    </row>
    <row r="23" spans="1:12" ht="12" customHeight="1">
      <c r="A23" s="14">
        <v>66</v>
      </c>
      <c r="B23" s="15">
        <v>62.67</v>
      </c>
      <c r="C23" s="15">
        <v>100.06</v>
      </c>
      <c r="D23" s="15">
        <v>48.21</v>
      </c>
      <c r="E23" s="15">
        <v>71.03</v>
      </c>
    </row>
    <row r="24" spans="1:12" ht="12" customHeight="1">
      <c r="A24" s="14">
        <v>67</v>
      </c>
      <c r="B24" s="15">
        <v>66.37</v>
      </c>
      <c r="C24" s="15">
        <v>104.97</v>
      </c>
      <c r="D24" s="15">
        <v>50.95</v>
      </c>
      <c r="E24" s="15">
        <v>73.77</v>
      </c>
    </row>
    <row r="25" spans="1:12" ht="12" customHeight="1">
      <c r="A25" s="14">
        <v>68</v>
      </c>
      <c r="B25" s="15">
        <v>70.069999999999993</v>
      </c>
      <c r="C25" s="15">
        <v>109.89</v>
      </c>
      <c r="D25" s="15">
        <v>53.69</v>
      </c>
      <c r="E25" s="15">
        <v>76.52</v>
      </c>
      <c r="H25" s="8">
        <f>(((H9*20)*0.087)+(H9*20))/12</f>
        <v>69.749166666666667</v>
      </c>
    </row>
    <row r="26" spans="1:12" ht="12" customHeight="1">
      <c r="A26" s="14">
        <v>69</v>
      </c>
      <c r="B26" s="15">
        <v>73.760000000000005</v>
      </c>
      <c r="C26" s="15">
        <v>114.8</v>
      </c>
      <c r="D26" s="15">
        <v>56.43</v>
      </c>
      <c r="E26" s="15">
        <v>79.260000000000005</v>
      </c>
    </row>
    <row r="27" spans="1:12" ht="12" customHeight="1">
      <c r="A27" s="14">
        <v>70</v>
      </c>
      <c r="B27" s="15">
        <v>77.459999999999994</v>
      </c>
      <c r="C27" s="15">
        <v>119.72</v>
      </c>
      <c r="D27" s="15">
        <v>59.17</v>
      </c>
      <c r="E27" s="15">
        <v>82</v>
      </c>
    </row>
    <row r="28" spans="1:12" ht="12" customHeight="1">
      <c r="A28" s="14">
        <v>71</v>
      </c>
      <c r="B28" s="15">
        <v>83.85</v>
      </c>
      <c r="C28" s="15">
        <v>131.6</v>
      </c>
      <c r="D28" s="15">
        <v>65.11</v>
      </c>
      <c r="E28" s="15">
        <v>91.14</v>
      </c>
    </row>
    <row r="29" spans="1:12" ht="12" customHeight="1">
      <c r="A29" s="14">
        <v>72</v>
      </c>
      <c r="B29" s="15">
        <v>90.25</v>
      </c>
      <c r="C29" s="15">
        <v>143.49</v>
      </c>
      <c r="D29" s="15">
        <v>71.040000000000006</v>
      </c>
      <c r="E29" s="15">
        <v>100.29</v>
      </c>
    </row>
    <row r="30" spans="1:12" ht="12" customHeight="1">
      <c r="A30" s="14">
        <v>73</v>
      </c>
      <c r="B30" s="15">
        <v>96.64</v>
      </c>
      <c r="C30" s="15">
        <v>155.37</v>
      </c>
      <c r="D30" s="15">
        <v>76.98</v>
      </c>
      <c r="E30" s="15">
        <v>109.43</v>
      </c>
    </row>
    <row r="31" spans="1:12" ht="12" customHeight="1">
      <c r="A31" s="14">
        <v>74</v>
      </c>
      <c r="B31" s="15">
        <v>103.03</v>
      </c>
      <c r="C31" s="15">
        <v>167.26</v>
      </c>
      <c r="D31" s="15">
        <v>82.92</v>
      </c>
      <c r="E31" s="15">
        <v>118.57</v>
      </c>
    </row>
    <row r="32" spans="1:12" ht="12" customHeight="1">
      <c r="A32" s="14">
        <v>75</v>
      </c>
      <c r="B32" s="15">
        <v>109.42</v>
      </c>
      <c r="C32" s="15">
        <v>179.14</v>
      </c>
      <c r="D32" s="15">
        <v>88.85</v>
      </c>
      <c r="E32" s="15">
        <v>127.72</v>
      </c>
    </row>
    <row r="33" spans="1:5" ht="12" customHeight="1">
      <c r="A33" s="14">
        <v>76</v>
      </c>
      <c r="B33" s="15">
        <v>122.23</v>
      </c>
      <c r="C33" s="15">
        <v>191.03</v>
      </c>
      <c r="D33" s="15">
        <v>96.63</v>
      </c>
      <c r="E33" s="15">
        <v>136.86000000000001</v>
      </c>
    </row>
    <row r="34" spans="1:5" ht="12" customHeight="1">
      <c r="A34" s="14">
        <v>77</v>
      </c>
      <c r="B34" s="15">
        <v>135.03</v>
      </c>
      <c r="C34" s="15">
        <v>202.91</v>
      </c>
      <c r="D34" s="15">
        <v>104.4</v>
      </c>
      <c r="E34" s="15">
        <v>146</v>
      </c>
    </row>
    <row r="35" spans="1:5" ht="12" customHeight="1">
      <c r="A35" s="14">
        <v>78</v>
      </c>
      <c r="B35" s="15">
        <v>147.83000000000001</v>
      </c>
      <c r="C35" s="15">
        <v>214.8</v>
      </c>
      <c r="D35" s="15">
        <v>112.17</v>
      </c>
      <c r="E35" s="15">
        <v>155.15</v>
      </c>
    </row>
    <row r="36" spans="1:5" ht="12" customHeight="1">
      <c r="A36" s="14">
        <v>79</v>
      </c>
      <c r="B36" s="15">
        <v>160.63</v>
      </c>
      <c r="C36" s="15">
        <v>226.69</v>
      </c>
      <c r="D36" s="15">
        <v>119.94</v>
      </c>
      <c r="E36" s="15">
        <v>164.29</v>
      </c>
    </row>
    <row r="37" spans="1:5" ht="12" customHeight="1">
      <c r="A37" s="14">
        <v>80</v>
      </c>
      <c r="B37" s="15">
        <v>173.43</v>
      </c>
      <c r="C37" s="15">
        <v>238.57</v>
      </c>
      <c r="D37" s="15">
        <v>127.72</v>
      </c>
      <c r="E37" s="15">
        <v>173.43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819D-B341-4D16-93F4-7DF5BF2E624A}">
  <dimension ref="A1:E43"/>
  <sheetViews>
    <sheetView workbookViewId="0">
      <selection activeCell="D8" sqref="D8"/>
    </sheetView>
  </sheetViews>
  <sheetFormatPr defaultColWidth="11.85546875" defaultRowHeight="15" customHeight="1"/>
  <cols>
    <col min="1" max="1" width="11.85546875" style="13"/>
    <col min="2" max="2" width="16.28515625" style="13" customWidth="1"/>
    <col min="3" max="3" width="13.28515625" style="13" customWidth="1"/>
    <col min="4" max="4" width="17.140625" style="13" customWidth="1"/>
    <col min="5" max="5" width="14.7109375" style="13" customWidth="1"/>
    <col min="6" max="16384" width="11.85546875" style="13"/>
  </cols>
  <sheetData>
    <row r="1" spans="1:5" s="25" customFormat="1" ht="15" customHeight="1">
      <c r="A1" s="25" t="s">
        <v>8</v>
      </c>
      <c r="B1" s="26" t="s">
        <v>19</v>
      </c>
      <c r="C1" s="27" t="s">
        <v>20</v>
      </c>
      <c r="D1" s="27" t="s">
        <v>21</v>
      </c>
      <c r="E1" s="27" t="s">
        <v>22</v>
      </c>
    </row>
    <row r="2" spans="1:5" ht="15" customHeight="1">
      <c r="A2" s="19">
        <v>50</v>
      </c>
      <c r="B2" s="20">
        <v>38.9</v>
      </c>
      <c r="C2" s="20">
        <v>52.9</v>
      </c>
      <c r="D2" s="20">
        <v>30.85</v>
      </c>
      <c r="E2" s="20">
        <v>41.8</v>
      </c>
    </row>
    <row r="3" spans="1:5" ht="15" customHeight="1">
      <c r="A3" s="21">
        <v>51</v>
      </c>
      <c r="B3" s="22">
        <v>40.35</v>
      </c>
      <c r="C3" s="22">
        <v>55.05</v>
      </c>
      <c r="D3" s="22">
        <v>32.049999999999997</v>
      </c>
      <c r="E3" s="22">
        <v>43.25</v>
      </c>
    </row>
    <row r="4" spans="1:5" ht="15" customHeight="1">
      <c r="A4" s="21">
        <v>52</v>
      </c>
      <c r="B4" s="22">
        <v>41.8</v>
      </c>
      <c r="C4" s="22">
        <v>57.2</v>
      </c>
      <c r="D4" s="22">
        <v>33.25</v>
      </c>
      <c r="E4" s="22">
        <v>44.7</v>
      </c>
    </row>
    <row r="5" spans="1:5" ht="15" customHeight="1">
      <c r="A5" s="21">
        <v>53</v>
      </c>
      <c r="B5" s="22">
        <v>43.25</v>
      </c>
      <c r="C5" s="22">
        <v>59.35</v>
      </c>
      <c r="D5" s="22">
        <v>34.450000000000003</v>
      </c>
      <c r="E5" s="22">
        <v>46.15</v>
      </c>
    </row>
    <row r="6" spans="1:5" ht="15" customHeight="1">
      <c r="A6" s="21">
        <v>54</v>
      </c>
      <c r="B6" s="22">
        <v>44.7</v>
      </c>
      <c r="C6" s="22">
        <v>61.5</v>
      </c>
      <c r="D6" s="22">
        <v>35.65</v>
      </c>
      <c r="E6" s="22">
        <v>47.6</v>
      </c>
    </row>
    <row r="7" spans="1:5" ht="15" customHeight="1">
      <c r="A7" s="21">
        <v>55</v>
      </c>
      <c r="B7" s="22">
        <v>46.15</v>
      </c>
      <c r="C7" s="22">
        <v>63.65</v>
      </c>
      <c r="D7" s="22">
        <v>36.85</v>
      </c>
      <c r="E7" s="22">
        <v>49.05</v>
      </c>
    </row>
    <row r="8" spans="1:5" ht="15" customHeight="1">
      <c r="A8" s="21">
        <v>56</v>
      </c>
      <c r="B8" s="22">
        <v>48.2</v>
      </c>
      <c r="C8" s="22">
        <v>66.5</v>
      </c>
      <c r="D8" s="22">
        <v>38.5</v>
      </c>
      <c r="E8" s="22">
        <v>51.25</v>
      </c>
    </row>
    <row r="9" spans="1:5" ht="15" customHeight="1">
      <c r="A9" s="21">
        <v>57</v>
      </c>
      <c r="B9" s="22">
        <v>50.25</v>
      </c>
      <c r="C9" s="22">
        <v>69.349999999999994</v>
      </c>
      <c r="D9" s="22">
        <v>40.15</v>
      </c>
      <c r="E9" s="22">
        <v>53.45</v>
      </c>
    </row>
    <row r="10" spans="1:5" ht="15" customHeight="1">
      <c r="A10" s="21">
        <v>58</v>
      </c>
      <c r="B10" s="22">
        <v>52.3</v>
      </c>
      <c r="C10" s="22">
        <v>72.2</v>
      </c>
      <c r="D10" s="22">
        <v>41.8</v>
      </c>
      <c r="E10" s="22">
        <v>55.65</v>
      </c>
    </row>
    <row r="11" spans="1:5" ht="15" customHeight="1">
      <c r="A11" s="21">
        <v>59</v>
      </c>
      <c r="B11" s="22">
        <v>54.35</v>
      </c>
      <c r="C11" s="22">
        <v>75.05</v>
      </c>
      <c r="D11" s="22">
        <v>43.45</v>
      </c>
      <c r="E11" s="22">
        <v>57.85</v>
      </c>
    </row>
    <row r="12" spans="1:5" ht="15" customHeight="1">
      <c r="A12" s="21">
        <v>60</v>
      </c>
      <c r="B12" s="22">
        <v>56.4</v>
      </c>
      <c r="C12" s="22">
        <v>77.900000000000006</v>
      </c>
      <c r="D12" s="22">
        <v>45.1</v>
      </c>
      <c r="E12" s="22">
        <v>60.05</v>
      </c>
    </row>
    <row r="13" spans="1:5" ht="15" customHeight="1">
      <c r="A13" s="21">
        <v>61</v>
      </c>
      <c r="B13" s="22">
        <v>59.35</v>
      </c>
      <c r="C13" s="22">
        <v>82.4</v>
      </c>
      <c r="D13" s="22">
        <v>47.55</v>
      </c>
      <c r="E13" s="22">
        <v>63.35</v>
      </c>
    </row>
    <row r="14" spans="1:5" ht="15" customHeight="1">
      <c r="A14" s="21">
        <v>62</v>
      </c>
      <c r="B14" s="22">
        <v>62.3</v>
      </c>
      <c r="C14" s="22">
        <v>86.9</v>
      </c>
      <c r="D14" s="22">
        <v>50</v>
      </c>
      <c r="E14" s="22">
        <v>66.650000000000006</v>
      </c>
    </row>
    <row r="15" spans="1:5" ht="15" customHeight="1">
      <c r="A15" s="21">
        <v>63</v>
      </c>
      <c r="B15" s="22">
        <v>65.25</v>
      </c>
      <c r="C15" s="22">
        <v>91.4</v>
      </c>
      <c r="D15" s="22">
        <v>52.45</v>
      </c>
      <c r="E15" s="22">
        <v>69.95</v>
      </c>
    </row>
    <row r="16" spans="1:5" ht="15" customHeight="1">
      <c r="A16" s="21">
        <v>64</v>
      </c>
      <c r="B16" s="22">
        <v>68.2</v>
      </c>
      <c r="C16" s="22">
        <v>95.9</v>
      </c>
      <c r="D16" s="22">
        <v>54.9</v>
      </c>
      <c r="E16" s="22">
        <v>73.25</v>
      </c>
    </row>
    <row r="17" spans="1:5" ht="15" customHeight="1">
      <c r="A17" s="21">
        <v>65</v>
      </c>
      <c r="B17" s="22">
        <v>71.150000000000006</v>
      </c>
      <c r="C17" s="22">
        <v>100.4</v>
      </c>
      <c r="D17" s="22">
        <v>57.35</v>
      </c>
      <c r="E17" s="22">
        <v>76.55</v>
      </c>
    </row>
    <row r="18" spans="1:5" ht="15" customHeight="1">
      <c r="A18" s="21">
        <v>66</v>
      </c>
      <c r="B18" s="22">
        <v>76.2</v>
      </c>
      <c r="C18" s="22">
        <v>108.5</v>
      </c>
      <c r="D18" s="22">
        <v>61.8</v>
      </c>
      <c r="E18" s="22">
        <v>83.5</v>
      </c>
    </row>
    <row r="19" spans="1:5" ht="15" customHeight="1">
      <c r="A19" s="21">
        <v>67</v>
      </c>
      <c r="B19" s="22">
        <v>81.25</v>
      </c>
      <c r="C19" s="22">
        <v>116.6</v>
      </c>
      <c r="D19" s="22">
        <v>66.25</v>
      </c>
      <c r="E19" s="22">
        <v>90.45</v>
      </c>
    </row>
    <row r="20" spans="1:5" ht="15" customHeight="1">
      <c r="A20" s="21">
        <v>68</v>
      </c>
      <c r="B20" s="22">
        <v>86.3</v>
      </c>
      <c r="C20" s="22">
        <v>124.7</v>
      </c>
      <c r="D20" s="22">
        <v>70.7</v>
      </c>
      <c r="E20" s="22">
        <v>97.4</v>
      </c>
    </row>
    <row r="21" spans="1:5" ht="15" customHeight="1">
      <c r="A21" s="21">
        <v>69</v>
      </c>
      <c r="B21" s="22">
        <v>91.35</v>
      </c>
      <c r="C21" s="22">
        <v>132.80000000000001</v>
      </c>
      <c r="D21" s="22">
        <v>75.150000000000006</v>
      </c>
      <c r="E21" s="22">
        <v>104.35</v>
      </c>
    </row>
    <row r="22" spans="1:5" ht="15" customHeight="1">
      <c r="A22" s="21">
        <v>70</v>
      </c>
      <c r="B22" s="22">
        <v>96.4</v>
      </c>
      <c r="C22" s="22">
        <v>140.9</v>
      </c>
      <c r="D22" s="22">
        <v>79.599999999999994</v>
      </c>
      <c r="E22" s="22">
        <v>111.3</v>
      </c>
    </row>
    <row r="23" spans="1:5" ht="15" customHeight="1">
      <c r="A23" s="21">
        <v>71</v>
      </c>
      <c r="B23" s="22">
        <v>105.1</v>
      </c>
      <c r="C23" s="22">
        <v>153.19999999999999</v>
      </c>
      <c r="D23" s="22">
        <v>86.85</v>
      </c>
      <c r="E23" s="22">
        <v>121.15</v>
      </c>
    </row>
    <row r="24" spans="1:5" ht="15" customHeight="1">
      <c r="A24" s="21">
        <v>72</v>
      </c>
      <c r="B24" s="22">
        <v>113.8</v>
      </c>
      <c r="C24" s="22">
        <v>165.5</v>
      </c>
      <c r="D24" s="22">
        <v>94.1</v>
      </c>
      <c r="E24" s="22">
        <v>131</v>
      </c>
    </row>
    <row r="25" spans="1:5" ht="15" customHeight="1">
      <c r="A25" s="21">
        <v>73</v>
      </c>
      <c r="B25" s="22">
        <v>122.5</v>
      </c>
      <c r="C25" s="22">
        <v>177.8</v>
      </c>
      <c r="D25" s="22">
        <v>101.35</v>
      </c>
      <c r="E25" s="22">
        <v>140.85</v>
      </c>
    </row>
    <row r="26" spans="1:5" ht="15" customHeight="1">
      <c r="A26" s="21">
        <v>74</v>
      </c>
      <c r="B26" s="22">
        <v>131.19999999999999</v>
      </c>
      <c r="C26" s="22">
        <v>190.1</v>
      </c>
      <c r="D26" s="22">
        <v>108.6</v>
      </c>
      <c r="E26" s="22">
        <v>150.69999999999999</v>
      </c>
    </row>
    <row r="27" spans="1:5" ht="15" customHeight="1">
      <c r="A27" s="21">
        <v>75</v>
      </c>
      <c r="B27" s="22">
        <v>139.9</v>
      </c>
      <c r="C27" s="22">
        <v>202.4</v>
      </c>
      <c r="D27" s="22">
        <v>115.85</v>
      </c>
      <c r="E27" s="22">
        <v>160.55000000000001</v>
      </c>
    </row>
    <row r="28" spans="1:5" ht="15" customHeight="1">
      <c r="A28" s="21">
        <v>76</v>
      </c>
      <c r="B28" s="22">
        <v>153.19999999999999</v>
      </c>
      <c r="C28" s="22">
        <v>219.1</v>
      </c>
      <c r="D28" s="22">
        <v>126.9</v>
      </c>
      <c r="E28" s="22">
        <v>172.95</v>
      </c>
    </row>
    <row r="29" spans="1:5" ht="15" customHeight="1">
      <c r="A29" s="21">
        <v>77</v>
      </c>
      <c r="B29" s="22">
        <v>166.5</v>
      </c>
      <c r="C29" s="22">
        <v>235.8</v>
      </c>
      <c r="D29" s="22">
        <v>137.94999999999999</v>
      </c>
      <c r="E29" s="22">
        <v>185.35</v>
      </c>
    </row>
    <row r="30" spans="1:5" ht="15" customHeight="1">
      <c r="A30" s="21">
        <v>78</v>
      </c>
      <c r="B30" s="22">
        <v>179.8</v>
      </c>
      <c r="C30" s="22">
        <v>252.5</v>
      </c>
      <c r="D30" s="22">
        <v>149</v>
      </c>
      <c r="E30" s="22">
        <v>197.75</v>
      </c>
    </row>
    <row r="31" spans="1:5" ht="15" customHeight="1">
      <c r="A31" s="21">
        <v>79</v>
      </c>
      <c r="B31" s="22">
        <v>193.1</v>
      </c>
      <c r="C31" s="22">
        <v>269.2</v>
      </c>
      <c r="D31" s="22">
        <v>160.05000000000001</v>
      </c>
      <c r="E31" s="22">
        <v>210.15</v>
      </c>
    </row>
    <row r="32" spans="1:5" ht="15" customHeight="1">
      <c r="A32" s="21">
        <v>80</v>
      </c>
      <c r="B32" s="22">
        <v>206.4</v>
      </c>
      <c r="C32" s="22">
        <v>285.89999999999998</v>
      </c>
      <c r="D32" s="22">
        <v>171.1</v>
      </c>
      <c r="E32" s="22">
        <v>222.55</v>
      </c>
    </row>
    <row r="33" spans="1:5" ht="15" customHeight="1">
      <c r="A33" s="21">
        <v>81</v>
      </c>
      <c r="B33" s="22">
        <v>223.1</v>
      </c>
      <c r="C33" s="22">
        <v>310.2</v>
      </c>
      <c r="D33" s="22">
        <v>184.6</v>
      </c>
      <c r="E33" s="22">
        <v>241.2</v>
      </c>
    </row>
    <row r="34" spans="1:5" ht="15" customHeight="1">
      <c r="A34" s="21">
        <v>82</v>
      </c>
      <c r="B34" s="22">
        <v>239.8</v>
      </c>
      <c r="C34" s="22">
        <v>334.5</v>
      </c>
      <c r="D34" s="22">
        <v>198.1</v>
      </c>
      <c r="E34" s="22">
        <v>259.85000000000002</v>
      </c>
    </row>
    <row r="35" spans="1:5" ht="15" customHeight="1">
      <c r="A35" s="21">
        <v>83</v>
      </c>
      <c r="B35" s="22">
        <v>256.5</v>
      </c>
      <c r="C35" s="22">
        <v>358.8</v>
      </c>
      <c r="D35" s="22">
        <v>211.6</v>
      </c>
      <c r="E35" s="22">
        <v>278.5</v>
      </c>
    </row>
    <row r="36" spans="1:5" ht="15" customHeight="1">
      <c r="A36" s="21">
        <v>84</v>
      </c>
      <c r="B36" s="22">
        <v>273.2</v>
      </c>
      <c r="C36" s="22">
        <v>383.1</v>
      </c>
      <c r="D36" s="22">
        <v>225.1</v>
      </c>
      <c r="E36" s="22">
        <v>297.14999999999998</v>
      </c>
    </row>
    <row r="37" spans="1:5" ht="15" customHeight="1">
      <c r="A37" s="21">
        <v>85</v>
      </c>
      <c r="B37" s="22">
        <v>289.89999999999998</v>
      </c>
      <c r="C37" s="22">
        <v>407.4</v>
      </c>
      <c r="D37" s="22">
        <v>238.6</v>
      </c>
      <c r="E37" s="22">
        <v>315.8</v>
      </c>
    </row>
    <row r="38" spans="1:5" ht="15" customHeight="1">
      <c r="A38" s="28"/>
      <c r="B38" s="29"/>
      <c r="C38" s="29"/>
    </row>
    <row r="39" spans="1:5" ht="15" customHeight="1">
      <c r="A39" s="28"/>
      <c r="B39" s="29"/>
      <c r="C39" s="29"/>
    </row>
    <row r="40" spans="1:5" ht="15" customHeight="1">
      <c r="A40" s="28"/>
      <c r="B40" s="29"/>
      <c r="C40" s="29"/>
    </row>
    <row r="41" spans="1:5" ht="15" customHeight="1">
      <c r="A41" s="28"/>
      <c r="B41" s="29"/>
      <c r="C41" s="29"/>
    </row>
    <row r="42" spans="1:5" ht="15" customHeight="1">
      <c r="A42" s="28"/>
      <c r="B42" s="29"/>
      <c r="C42" s="29"/>
    </row>
    <row r="43" spans="1:5" ht="15" customHeight="1">
      <c r="A43" s="28"/>
      <c r="B43" s="29"/>
      <c r="C4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A92D-4A2B-432E-8B38-A72B72DFE94B}">
  <dimension ref="A1:C42"/>
  <sheetViews>
    <sheetView workbookViewId="0">
      <selection activeCell="B13" sqref="B13"/>
    </sheetView>
  </sheetViews>
  <sheetFormatPr defaultRowHeight="12"/>
  <cols>
    <col min="1" max="1" width="11.140625" style="8" customWidth="1"/>
    <col min="2" max="2" width="11.7109375" style="8" customWidth="1"/>
    <col min="3" max="3" width="13" style="8" customWidth="1"/>
    <col min="4" max="16384" width="9.140625" style="8"/>
  </cols>
  <sheetData>
    <row r="1" spans="1:3" s="18" customFormat="1">
      <c r="A1" s="18" t="s">
        <v>8</v>
      </c>
      <c r="B1" s="18" t="s">
        <v>23</v>
      </c>
      <c r="C1" s="18" t="s">
        <v>24</v>
      </c>
    </row>
    <row r="2" spans="1:3">
      <c r="A2" s="19">
        <v>45</v>
      </c>
      <c r="B2" s="20">
        <v>32.380000000000003</v>
      </c>
      <c r="C2" s="20">
        <v>30.03</v>
      </c>
    </row>
    <row r="3" spans="1:3">
      <c r="A3" s="21">
        <v>46</v>
      </c>
      <c r="B3" s="22">
        <v>33.630000000000003</v>
      </c>
      <c r="C3" s="22">
        <v>31.21</v>
      </c>
    </row>
    <row r="4" spans="1:3">
      <c r="A4" s="21">
        <v>47</v>
      </c>
      <c r="B4" s="22">
        <v>34.89</v>
      </c>
      <c r="C4" s="22">
        <v>32.39</v>
      </c>
    </row>
    <row r="5" spans="1:3">
      <c r="A5" s="21">
        <v>48</v>
      </c>
      <c r="B5" s="22">
        <v>36.24</v>
      </c>
      <c r="C5" s="22">
        <v>33.64</v>
      </c>
    </row>
    <row r="6" spans="1:3">
      <c r="A6" s="21">
        <v>49</v>
      </c>
      <c r="B6" s="22">
        <v>37.67</v>
      </c>
      <c r="C6" s="22">
        <v>34.9</v>
      </c>
    </row>
    <row r="7" spans="1:3">
      <c r="A7" s="21">
        <v>50</v>
      </c>
      <c r="B7" s="22">
        <v>39.11</v>
      </c>
      <c r="C7" s="22">
        <v>36.25</v>
      </c>
    </row>
    <row r="8" spans="1:3">
      <c r="A8" s="21">
        <v>51</v>
      </c>
      <c r="B8" s="22">
        <v>40.72</v>
      </c>
      <c r="C8" s="22">
        <v>37.68</v>
      </c>
    </row>
    <row r="9" spans="1:3">
      <c r="A9" s="21">
        <v>52</v>
      </c>
      <c r="B9" s="22">
        <v>42.74</v>
      </c>
      <c r="C9" s="22">
        <v>39.119999999999997</v>
      </c>
    </row>
    <row r="10" spans="1:3">
      <c r="A10" s="21">
        <v>53</v>
      </c>
      <c r="B10" s="22">
        <v>44.92</v>
      </c>
      <c r="C10" s="22">
        <v>40.630000000000003</v>
      </c>
    </row>
    <row r="11" spans="1:3">
      <c r="A11" s="21">
        <v>54</v>
      </c>
      <c r="B11" s="22">
        <v>47.21</v>
      </c>
      <c r="C11" s="22">
        <v>42.54</v>
      </c>
    </row>
    <row r="12" spans="1:3">
      <c r="A12" s="21">
        <v>55</v>
      </c>
      <c r="B12" s="22">
        <v>49.63</v>
      </c>
      <c r="C12" s="22">
        <v>44.61</v>
      </c>
    </row>
    <row r="13" spans="1:3">
      <c r="A13" s="21">
        <v>56</v>
      </c>
      <c r="B13" s="22">
        <v>52.39</v>
      </c>
      <c r="C13" s="22">
        <v>46.77</v>
      </c>
    </row>
    <row r="14" spans="1:3">
      <c r="A14" s="21">
        <v>57</v>
      </c>
      <c r="B14" s="22">
        <v>55.03</v>
      </c>
      <c r="C14" s="22">
        <v>49.05</v>
      </c>
    </row>
    <row r="15" spans="1:3">
      <c r="A15" s="21">
        <v>58</v>
      </c>
      <c r="B15" s="22">
        <v>57.78</v>
      </c>
      <c r="C15" s="22">
        <v>51.66</v>
      </c>
    </row>
    <row r="16" spans="1:3">
      <c r="A16" s="21">
        <v>59</v>
      </c>
      <c r="B16" s="22">
        <v>60.68</v>
      </c>
      <c r="C16" s="22">
        <v>54.13</v>
      </c>
    </row>
    <row r="17" spans="1:3">
      <c r="A17" s="21">
        <v>60</v>
      </c>
      <c r="B17" s="22">
        <v>63.71</v>
      </c>
      <c r="C17" s="22">
        <v>56.7</v>
      </c>
    </row>
    <row r="18" spans="1:3">
      <c r="A18" s="21">
        <v>61</v>
      </c>
      <c r="B18" s="22">
        <v>66.900000000000006</v>
      </c>
      <c r="C18" s="22">
        <v>59.41</v>
      </c>
    </row>
    <row r="19" spans="1:3">
      <c r="A19" s="21">
        <v>62</v>
      </c>
      <c r="B19" s="22">
        <v>70.25</v>
      </c>
      <c r="C19" s="22">
        <v>62.22</v>
      </c>
    </row>
    <row r="20" spans="1:3">
      <c r="A20" s="21">
        <v>63</v>
      </c>
      <c r="B20" s="22">
        <v>73.760000000000005</v>
      </c>
      <c r="C20" s="22">
        <v>65.180000000000007</v>
      </c>
    </row>
    <row r="21" spans="1:3">
      <c r="A21" s="21">
        <v>64</v>
      </c>
      <c r="B21" s="22">
        <v>77.459999999999994</v>
      </c>
      <c r="C21" s="22">
        <v>68.28</v>
      </c>
    </row>
    <row r="22" spans="1:3">
      <c r="A22" s="21">
        <v>65</v>
      </c>
      <c r="B22" s="22">
        <v>83.12</v>
      </c>
      <c r="C22" s="22">
        <v>72.040000000000006</v>
      </c>
    </row>
    <row r="23" spans="1:3">
      <c r="A23" s="23">
        <v>66</v>
      </c>
      <c r="B23" s="20">
        <v>89.2</v>
      </c>
      <c r="C23" s="20">
        <v>76.36</v>
      </c>
    </row>
    <row r="24" spans="1:3">
      <c r="A24" s="24">
        <v>67</v>
      </c>
      <c r="B24" s="22">
        <v>95.72</v>
      </c>
      <c r="C24" s="22">
        <v>80.94</v>
      </c>
    </row>
    <row r="25" spans="1:3">
      <c r="A25" s="24">
        <v>68</v>
      </c>
      <c r="B25" s="22">
        <v>102.72</v>
      </c>
      <c r="C25" s="22">
        <v>85.8</v>
      </c>
    </row>
    <row r="26" spans="1:3">
      <c r="A26" s="24">
        <v>69</v>
      </c>
      <c r="B26" s="22">
        <v>110.22</v>
      </c>
      <c r="C26" s="22">
        <v>90.94</v>
      </c>
    </row>
    <row r="27" spans="1:3">
      <c r="A27" s="24">
        <v>70</v>
      </c>
      <c r="B27" s="22">
        <v>118.28</v>
      </c>
      <c r="C27" s="22">
        <v>96.4</v>
      </c>
    </row>
    <row r="28" spans="1:3">
      <c r="A28" s="24">
        <v>71</v>
      </c>
      <c r="B28" s="22">
        <v>126.93</v>
      </c>
      <c r="C28" s="22">
        <v>102.18</v>
      </c>
    </row>
    <row r="29" spans="1:3">
      <c r="A29" s="24">
        <v>72</v>
      </c>
      <c r="B29" s="22">
        <v>136.21</v>
      </c>
      <c r="C29" s="22">
        <v>108.31</v>
      </c>
    </row>
    <row r="30" spans="1:3">
      <c r="A30" s="24">
        <v>73</v>
      </c>
      <c r="B30" s="22">
        <v>146.16999999999999</v>
      </c>
      <c r="C30" s="22">
        <v>114.81</v>
      </c>
    </row>
    <row r="31" spans="1:3">
      <c r="A31" s="24">
        <v>74</v>
      </c>
      <c r="B31" s="22">
        <v>156.85</v>
      </c>
      <c r="C31" s="22">
        <v>121.7</v>
      </c>
    </row>
    <row r="32" spans="1:3">
      <c r="A32" s="24">
        <v>75</v>
      </c>
      <c r="B32" s="22">
        <v>168.32</v>
      </c>
      <c r="C32" s="22">
        <v>129</v>
      </c>
    </row>
    <row r="33" spans="1:3">
      <c r="A33" s="24">
        <v>76</v>
      </c>
      <c r="B33" s="22">
        <v>180.62</v>
      </c>
      <c r="C33" s="22">
        <v>136.74</v>
      </c>
    </row>
    <row r="34" spans="1:3">
      <c r="A34" s="24">
        <v>77</v>
      </c>
      <c r="B34" s="22">
        <v>193.83</v>
      </c>
      <c r="C34" s="22">
        <v>144.94999999999999</v>
      </c>
    </row>
    <row r="35" spans="1:3">
      <c r="A35" s="24">
        <v>78</v>
      </c>
      <c r="B35" s="22">
        <v>208</v>
      </c>
      <c r="C35" s="22">
        <v>153.65</v>
      </c>
    </row>
    <row r="36" spans="1:3">
      <c r="A36" s="24">
        <v>79</v>
      </c>
      <c r="B36" s="22">
        <v>223.08</v>
      </c>
      <c r="C36" s="22">
        <v>164.4</v>
      </c>
    </row>
    <row r="37" spans="1:3">
      <c r="A37" s="24">
        <v>80</v>
      </c>
      <c r="B37" s="22">
        <v>239.25</v>
      </c>
      <c r="C37" s="22">
        <v>175.91</v>
      </c>
    </row>
    <row r="38" spans="1:3">
      <c r="A38" s="24">
        <v>81</v>
      </c>
      <c r="B38" s="22">
        <v>256.60000000000002</v>
      </c>
      <c r="C38" s="22">
        <v>188.22</v>
      </c>
    </row>
    <row r="39" spans="1:3">
      <c r="A39" s="24">
        <v>82</v>
      </c>
      <c r="B39" s="22">
        <v>275.2</v>
      </c>
      <c r="C39" s="22">
        <v>201.4</v>
      </c>
    </row>
    <row r="40" spans="1:3">
      <c r="A40" s="24">
        <v>83</v>
      </c>
      <c r="B40" s="22">
        <v>295.14999999999998</v>
      </c>
      <c r="C40" s="22">
        <v>215.5</v>
      </c>
    </row>
    <row r="41" spans="1:3">
      <c r="A41" s="24">
        <v>84</v>
      </c>
      <c r="B41" s="22">
        <v>316.55</v>
      </c>
      <c r="C41" s="22">
        <v>230.58</v>
      </c>
    </row>
    <row r="42" spans="1:3">
      <c r="A42" s="24">
        <v>85</v>
      </c>
      <c r="B42" s="22">
        <v>339.5</v>
      </c>
      <c r="C42" s="22">
        <v>246.72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329F9-1BDF-47D5-8077-303E48D21690}">
  <dimension ref="A1:G52"/>
  <sheetViews>
    <sheetView workbookViewId="0">
      <selection activeCell="C18" sqref="C18"/>
    </sheetView>
  </sheetViews>
  <sheetFormatPr defaultRowHeight="12"/>
  <cols>
    <col min="1" max="1" width="8.140625" style="8" customWidth="1"/>
    <col min="2" max="2" width="12" style="8" customWidth="1"/>
    <col min="3" max="3" width="14.7109375" style="8" customWidth="1"/>
    <col min="4" max="16384" width="9.140625" style="8"/>
  </cols>
  <sheetData>
    <row r="1" spans="1:7">
      <c r="A1" s="10" t="s">
        <v>8</v>
      </c>
      <c r="B1" s="11" t="s">
        <v>23</v>
      </c>
      <c r="C1" s="12" t="s">
        <v>24</v>
      </c>
      <c r="D1" s="13"/>
      <c r="E1" s="13"/>
      <c r="F1" s="13"/>
      <c r="G1" s="13"/>
    </row>
    <row r="2" spans="1:7">
      <c r="A2" s="14">
        <v>40</v>
      </c>
      <c r="B2" s="15">
        <v>55</v>
      </c>
      <c r="C2" s="15">
        <v>40</v>
      </c>
    </row>
    <row r="3" spans="1:7">
      <c r="A3" s="14">
        <v>41</v>
      </c>
      <c r="B3" s="15">
        <v>56</v>
      </c>
      <c r="C3" s="15">
        <v>40</v>
      </c>
    </row>
    <row r="4" spans="1:7">
      <c r="A4" s="14">
        <v>42</v>
      </c>
      <c r="B4" s="15">
        <v>57</v>
      </c>
      <c r="C4" s="15">
        <v>40</v>
      </c>
    </row>
    <row r="5" spans="1:7">
      <c r="A5" s="14">
        <v>43</v>
      </c>
      <c r="B5" s="15">
        <v>58</v>
      </c>
      <c r="C5" s="15">
        <v>40</v>
      </c>
    </row>
    <row r="6" spans="1:7">
      <c r="A6" s="14">
        <v>44</v>
      </c>
      <c r="B6" s="15">
        <v>59</v>
      </c>
      <c r="C6" s="15">
        <v>40</v>
      </c>
    </row>
    <row r="7" spans="1:7">
      <c r="A7" s="14">
        <v>45</v>
      </c>
      <c r="B7" s="15">
        <v>60</v>
      </c>
      <c r="C7" s="15">
        <v>40</v>
      </c>
    </row>
    <row r="8" spans="1:7">
      <c r="A8" s="14">
        <v>46</v>
      </c>
      <c r="B8" s="15">
        <v>60</v>
      </c>
      <c r="C8" s="15">
        <v>40</v>
      </c>
    </row>
    <row r="9" spans="1:7">
      <c r="A9" s="14">
        <v>47</v>
      </c>
      <c r="B9" s="15">
        <v>60</v>
      </c>
      <c r="C9" s="15">
        <v>40</v>
      </c>
    </row>
    <row r="10" spans="1:7">
      <c r="A10" s="14">
        <v>48</v>
      </c>
      <c r="B10" s="15">
        <v>60</v>
      </c>
      <c r="C10" s="15">
        <v>40</v>
      </c>
    </row>
    <row r="11" spans="1:7">
      <c r="A11" s="14">
        <v>49</v>
      </c>
      <c r="B11" s="15">
        <v>60</v>
      </c>
      <c r="C11" s="15">
        <v>40</v>
      </c>
    </row>
    <row r="12" spans="1:7">
      <c r="A12" s="14">
        <v>50</v>
      </c>
      <c r="B12" s="15">
        <v>61</v>
      </c>
      <c r="C12" s="15">
        <v>41</v>
      </c>
    </row>
    <row r="13" spans="1:7">
      <c r="A13" s="14">
        <v>51</v>
      </c>
      <c r="B13" s="15">
        <v>62</v>
      </c>
      <c r="C13" s="15">
        <v>42</v>
      </c>
    </row>
    <row r="14" spans="1:7">
      <c r="A14" s="14">
        <v>52</v>
      </c>
      <c r="B14" s="15">
        <v>63</v>
      </c>
      <c r="C14" s="15">
        <v>44</v>
      </c>
    </row>
    <row r="15" spans="1:7">
      <c r="A15" s="14">
        <v>53</v>
      </c>
      <c r="B15" s="15">
        <v>64</v>
      </c>
      <c r="C15" s="15">
        <v>46</v>
      </c>
    </row>
    <row r="16" spans="1:7">
      <c r="A16" s="14">
        <v>54</v>
      </c>
      <c r="B16" s="15">
        <v>65</v>
      </c>
      <c r="C16" s="15">
        <v>49</v>
      </c>
    </row>
    <row r="17" spans="1:3">
      <c r="A17" s="14">
        <v>55</v>
      </c>
      <c r="B17" s="15">
        <v>67</v>
      </c>
      <c r="C17" s="15">
        <v>51</v>
      </c>
    </row>
    <row r="18" spans="1:3">
      <c r="A18" s="14">
        <v>56</v>
      </c>
      <c r="B18" s="15">
        <v>70</v>
      </c>
      <c r="C18" s="15">
        <v>53</v>
      </c>
    </row>
    <row r="19" spans="1:3">
      <c r="A19" s="14">
        <v>57</v>
      </c>
      <c r="B19" s="15">
        <v>72</v>
      </c>
      <c r="C19" s="15">
        <v>55</v>
      </c>
    </row>
    <row r="20" spans="1:3">
      <c r="A20" s="14">
        <v>58</v>
      </c>
      <c r="B20" s="15">
        <v>73</v>
      </c>
      <c r="C20" s="15">
        <v>56</v>
      </c>
    </row>
    <row r="21" spans="1:3">
      <c r="A21" s="14">
        <v>59</v>
      </c>
      <c r="B21" s="15">
        <v>75</v>
      </c>
      <c r="C21" s="15">
        <v>58</v>
      </c>
    </row>
    <row r="22" spans="1:3">
      <c r="A22" s="14">
        <v>60</v>
      </c>
      <c r="B22" s="15">
        <v>78</v>
      </c>
      <c r="C22" s="15">
        <v>60</v>
      </c>
    </row>
    <row r="23" spans="1:3">
      <c r="A23" s="14">
        <v>61</v>
      </c>
      <c r="B23" s="15">
        <v>81</v>
      </c>
      <c r="C23" s="15">
        <v>63</v>
      </c>
    </row>
    <row r="24" spans="1:3">
      <c r="A24" s="14">
        <v>62</v>
      </c>
      <c r="B24" s="15">
        <v>86</v>
      </c>
      <c r="C24" s="15">
        <v>66</v>
      </c>
    </row>
    <row r="25" spans="1:3">
      <c r="A25" s="14">
        <v>63</v>
      </c>
      <c r="B25" s="15">
        <v>90</v>
      </c>
      <c r="C25" s="15">
        <v>70</v>
      </c>
    </row>
    <row r="26" spans="1:3">
      <c r="A26" s="14">
        <v>64</v>
      </c>
      <c r="B26" s="15">
        <v>95</v>
      </c>
      <c r="C26" s="15">
        <v>72</v>
      </c>
    </row>
    <row r="27" spans="1:3">
      <c r="A27" s="14">
        <v>65</v>
      </c>
      <c r="B27" s="15">
        <v>100</v>
      </c>
      <c r="C27" s="15">
        <v>73</v>
      </c>
    </row>
    <row r="28" spans="1:3">
      <c r="A28" s="16">
        <v>66</v>
      </c>
      <c r="B28" s="15">
        <v>104</v>
      </c>
      <c r="C28" s="15">
        <v>77</v>
      </c>
    </row>
    <row r="29" spans="1:3">
      <c r="A29" s="16">
        <v>67</v>
      </c>
      <c r="B29" s="15">
        <v>108</v>
      </c>
      <c r="C29" s="15">
        <v>80</v>
      </c>
    </row>
    <row r="30" spans="1:3">
      <c r="A30" s="16">
        <v>68</v>
      </c>
      <c r="B30" s="15">
        <v>112</v>
      </c>
      <c r="C30" s="15">
        <v>83</v>
      </c>
    </row>
    <row r="31" spans="1:3">
      <c r="A31" s="16">
        <v>69</v>
      </c>
      <c r="B31" s="15">
        <v>116</v>
      </c>
      <c r="C31" s="15">
        <v>86</v>
      </c>
    </row>
    <row r="32" spans="1:3">
      <c r="A32" s="16">
        <v>70</v>
      </c>
      <c r="B32" s="15">
        <v>120</v>
      </c>
      <c r="C32" s="15">
        <v>90</v>
      </c>
    </row>
    <row r="33" spans="1:3">
      <c r="A33" s="16">
        <v>71</v>
      </c>
      <c r="B33" s="15">
        <v>132</v>
      </c>
      <c r="C33" s="15">
        <v>98</v>
      </c>
    </row>
    <row r="34" spans="1:3">
      <c r="A34" s="16">
        <v>72</v>
      </c>
      <c r="B34" s="15">
        <v>142</v>
      </c>
      <c r="C34" s="15">
        <v>107</v>
      </c>
    </row>
    <row r="35" spans="1:3">
      <c r="A35" s="16">
        <v>73</v>
      </c>
      <c r="B35" s="15">
        <v>152</v>
      </c>
      <c r="C35" s="15">
        <v>115</v>
      </c>
    </row>
    <row r="36" spans="1:3">
      <c r="A36" s="16">
        <v>74</v>
      </c>
      <c r="B36" s="15">
        <v>162</v>
      </c>
      <c r="C36" s="15">
        <v>124</v>
      </c>
    </row>
    <row r="37" spans="1:3">
      <c r="A37" s="16">
        <v>75</v>
      </c>
      <c r="B37" s="15">
        <v>172</v>
      </c>
      <c r="C37" s="15">
        <v>132</v>
      </c>
    </row>
    <row r="38" spans="1:3">
      <c r="A38" s="16">
        <v>76</v>
      </c>
      <c r="B38" s="15">
        <v>200</v>
      </c>
      <c r="C38" s="15">
        <v>150</v>
      </c>
    </row>
    <row r="39" spans="1:3">
      <c r="A39" s="16">
        <v>77</v>
      </c>
      <c r="B39" s="15">
        <v>225</v>
      </c>
      <c r="C39" s="15">
        <v>170</v>
      </c>
    </row>
    <row r="40" spans="1:3">
      <c r="A40" s="16">
        <v>78</v>
      </c>
      <c r="B40" s="15">
        <v>250</v>
      </c>
      <c r="C40" s="15">
        <v>190</v>
      </c>
    </row>
    <row r="41" spans="1:3">
      <c r="A41" s="16">
        <v>79</v>
      </c>
      <c r="B41" s="15">
        <v>275</v>
      </c>
      <c r="C41" s="15">
        <v>200</v>
      </c>
    </row>
    <row r="42" spans="1:3">
      <c r="A42" s="16">
        <v>80</v>
      </c>
      <c r="B42" s="15">
        <v>290</v>
      </c>
      <c r="C42" s="15">
        <v>210</v>
      </c>
    </row>
    <row r="43" spans="1:3">
      <c r="A43" s="16">
        <v>81</v>
      </c>
      <c r="B43" s="15">
        <v>300</v>
      </c>
      <c r="C43" s="15">
        <v>220</v>
      </c>
    </row>
    <row r="44" spans="1:3">
      <c r="A44" s="16">
        <v>82</v>
      </c>
      <c r="B44" s="15">
        <v>320</v>
      </c>
      <c r="C44" s="15">
        <v>230</v>
      </c>
    </row>
    <row r="45" spans="1:3">
      <c r="A45" s="16">
        <v>83</v>
      </c>
      <c r="B45" s="15">
        <v>340</v>
      </c>
      <c r="C45" s="15">
        <v>240</v>
      </c>
    </row>
    <row r="46" spans="1:3">
      <c r="A46" s="16">
        <v>84</v>
      </c>
      <c r="B46" s="15">
        <v>360</v>
      </c>
      <c r="C46" s="15">
        <v>250</v>
      </c>
    </row>
    <row r="47" spans="1:3">
      <c r="A47" s="16">
        <v>85</v>
      </c>
      <c r="B47" s="15">
        <v>375</v>
      </c>
      <c r="C47" s="15">
        <v>260</v>
      </c>
    </row>
    <row r="48" spans="1:3">
      <c r="A48" s="16">
        <v>86</v>
      </c>
      <c r="B48" s="15">
        <v>400</v>
      </c>
      <c r="C48" s="15">
        <v>280</v>
      </c>
    </row>
    <row r="49" spans="1:3">
      <c r="A49" s="16">
        <v>87</v>
      </c>
      <c r="B49" s="15">
        <v>420</v>
      </c>
      <c r="C49" s="15">
        <v>300</v>
      </c>
    </row>
    <row r="50" spans="1:3">
      <c r="A50" s="16">
        <v>88</v>
      </c>
      <c r="B50" s="15">
        <v>440</v>
      </c>
      <c r="C50" s="15">
        <v>330</v>
      </c>
    </row>
    <row r="51" spans="1:3">
      <c r="A51" s="16">
        <v>89</v>
      </c>
      <c r="B51" s="15">
        <v>450</v>
      </c>
      <c r="C51" s="15">
        <v>360</v>
      </c>
    </row>
    <row r="52" spans="1:3">
      <c r="A52" s="16">
        <v>90</v>
      </c>
      <c r="B52" s="15">
        <v>460</v>
      </c>
      <c r="C52" s="15">
        <v>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F1C-63CC-4200-ACE1-7D453909AE77}">
  <dimension ref="A1:E69"/>
  <sheetViews>
    <sheetView workbookViewId="0">
      <selection activeCell="F1" sqref="F1:F1048576"/>
    </sheetView>
  </sheetViews>
  <sheetFormatPr defaultRowHeight="13.5" customHeight="1"/>
  <cols>
    <col min="1" max="1" width="9.140625" style="9"/>
    <col min="2" max="2" width="16.140625" style="8" customWidth="1"/>
    <col min="3" max="4" width="16" style="8" customWidth="1"/>
    <col min="5" max="5" width="15.85546875" style="8" customWidth="1"/>
    <col min="6" max="16384" width="9.140625" style="8"/>
  </cols>
  <sheetData>
    <row r="1" spans="1:5" ht="13.5" customHeight="1">
      <c r="A1" s="33" t="s">
        <v>8</v>
      </c>
      <c r="B1" s="35" t="s">
        <v>9</v>
      </c>
      <c r="C1" s="35" t="s">
        <v>10</v>
      </c>
      <c r="D1" s="35" t="s">
        <v>11</v>
      </c>
      <c r="E1" s="34" t="s">
        <v>12</v>
      </c>
    </row>
    <row r="2" spans="1:5" ht="13.5" customHeight="1">
      <c r="A2" s="36">
        <v>18</v>
      </c>
      <c r="B2" s="5">
        <v>20.440000000000001</v>
      </c>
      <c r="C2" s="5">
        <v>24.37</v>
      </c>
      <c r="D2" s="5">
        <v>18.690000000000001</v>
      </c>
      <c r="E2" s="5">
        <v>19.25</v>
      </c>
    </row>
    <row r="3" spans="1:5" ht="13.5" customHeight="1">
      <c r="A3" s="37">
        <v>19</v>
      </c>
      <c r="B3" s="5">
        <v>20.73</v>
      </c>
      <c r="C3" s="5">
        <v>25.33</v>
      </c>
      <c r="D3" s="5">
        <v>19</v>
      </c>
      <c r="E3" s="5">
        <v>20.059999999999999</v>
      </c>
    </row>
    <row r="4" spans="1:5" ht="13.5" customHeight="1">
      <c r="A4" s="37">
        <v>20</v>
      </c>
      <c r="B4" s="5">
        <v>21.03</v>
      </c>
      <c r="C4" s="5">
        <v>26.31</v>
      </c>
      <c r="D4" s="5">
        <v>19.309999999999999</v>
      </c>
      <c r="E4" s="5">
        <v>20.89</v>
      </c>
    </row>
    <row r="5" spans="1:5" ht="13.5" customHeight="1">
      <c r="A5" s="37">
        <v>21</v>
      </c>
      <c r="B5" s="5">
        <v>21.63</v>
      </c>
      <c r="C5" s="5">
        <v>27.23</v>
      </c>
      <c r="D5" s="5">
        <v>19.5</v>
      </c>
      <c r="E5" s="5">
        <v>21.57</v>
      </c>
    </row>
    <row r="6" spans="1:5" ht="13.5" customHeight="1">
      <c r="A6" s="37">
        <v>22</v>
      </c>
      <c r="B6" s="5">
        <v>22.25</v>
      </c>
      <c r="C6" s="5">
        <v>28.17</v>
      </c>
      <c r="D6" s="5">
        <v>19.690000000000001</v>
      </c>
      <c r="E6" s="5">
        <v>22.27</v>
      </c>
    </row>
    <row r="7" spans="1:5" ht="13.5" customHeight="1">
      <c r="A7" s="37">
        <v>23</v>
      </c>
      <c r="B7" s="5">
        <v>22.88</v>
      </c>
      <c r="C7" s="5">
        <v>29.15</v>
      </c>
      <c r="D7" s="5">
        <v>19.89</v>
      </c>
      <c r="E7" s="5">
        <v>22.99</v>
      </c>
    </row>
    <row r="8" spans="1:5" ht="13.5" customHeight="1">
      <c r="A8" s="37">
        <v>24</v>
      </c>
      <c r="B8" s="5">
        <v>23.53</v>
      </c>
      <c r="C8" s="5">
        <v>30.17</v>
      </c>
      <c r="D8" s="5">
        <v>20.079999999999998</v>
      </c>
      <c r="E8" s="5">
        <v>23.74</v>
      </c>
    </row>
    <row r="9" spans="1:5" ht="13.5" customHeight="1">
      <c r="A9" s="37">
        <v>25</v>
      </c>
      <c r="B9" s="5">
        <v>24.2</v>
      </c>
      <c r="C9" s="5">
        <v>31.22</v>
      </c>
      <c r="D9" s="5">
        <v>20.28</v>
      </c>
      <c r="E9" s="5">
        <v>24.51</v>
      </c>
    </row>
    <row r="10" spans="1:5" ht="13.5" customHeight="1">
      <c r="A10" s="37">
        <v>26</v>
      </c>
      <c r="B10" s="5">
        <v>24.03</v>
      </c>
      <c r="C10" s="5">
        <v>31.19</v>
      </c>
      <c r="D10" s="5">
        <v>20.32</v>
      </c>
      <c r="E10" s="5">
        <v>24.97</v>
      </c>
    </row>
    <row r="11" spans="1:5" ht="13.5" customHeight="1">
      <c r="A11" s="37">
        <v>27</v>
      </c>
      <c r="B11" s="5">
        <v>23.87</v>
      </c>
      <c r="C11" s="5">
        <v>31.16</v>
      </c>
      <c r="D11" s="5">
        <v>20.36</v>
      </c>
      <c r="E11" s="5">
        <v>25.44</v>
      </c>
    </row>
    <row r="12" spans="1:5" ht="13.5" customHeight="1">
      <c r="A12" s="37">
        <v>28</v>
      </c>
      <c r="B12" s="5">
        <v>23.7</v>
      </c>
      <c r="C12" s="5">
        <v>31.14</v>
      </c>
      <c r="D12" s="5">
        <v>20.399999999999999</v>
      </c>
      <c r="E12" s="5">
        <v>25.91</v>
      </c>
    </row>
    <row r="13" spans="1:5" ht="13.5" customHeight="1">
      <c r="A13" s="37">
        <v>29</v>
      </c>
      <c r="B13" s="5">
        <v>23.53</v>
      </c>
      <c r="C13" s="5">
        <v>31.11</v>
      </c>
      <c r="D13" s="5">
        <v>20.45</v>
      </c>
      <c r="E13" s="5">
        <v>26.4</v>
      </c>
    </row>
    <row r="14" spans="1:5" ht="13.5" customHeight="1">
      <c r="A14" s="37">
        <v>30</v>
      </c>
      <c r="B14" s="5">
        <v>23.37</v>
      </c>
      <c r="C14" s="5">
        <v>31.09</v>
      </c>
      <c r="D14" s="5">
        <v>20.49</v>
      </c>
      <c r="E14" s="5">
        <v>26.9</v>
      </c>
    </row>
    <row r="15" spans="1:5" ht="13.5" customHeight="1">
      <c r="A15" s="37">
        <v>31</v>
      </c>
      <c r="B15" s="5">
        <v>23.61</v>
      </c>
      <c r="C15" s="5">
        <v>31.85</v>
      </c>
      <c r="D15" s="5">
        <v>20.53</v>
      </c>
      <c r="E15" s="5">
        <v>27</v>
      </c>
    </row>
    <row r="16" spans="1:5" ht="13.5" customHeight="1">
      <c r="A16" s="37">
        <v>32</v>
      </c>
      <c r="B16" s="5">
        <v>23.86</v>
      </c>
      <c r="C16" s="5">
        <v>32.64</v>
      </c>
      <c r="D16" s="5">
        <v>20.57</v>
      </c>
      <c r="E16" s="5">
        <v>27.1</v>
      </c>
    </row>
    <row r="17" spans="1:5" ht="13.5" customHeight="1">
      <c r="A17" s="37">
        <v>33</v>
      </c>
      <c r="B17" s="5">
        <v>24.11</v>
      </c>
      <c r="C17" s="5">
        <v>33.44</v>
      </c>
      <c r="D17" s="5">
        <v>20.61</v>
      </c>
      <c r="E17" s="5">
        <v>27.2</v>
      </c>
    </row>
    <row r="18" spans="1:5" ht="13.5" customHeight="1">
      <c r="A18" s="37">
        <v>34</v>
      </c>
      <c r="B18" s="5">
        <v>24.37</v>
      </c>
      <c r="C18" s="5">
        <v>34.270000000000003</v>
      </c>
      <c r="D18" s="5">
        <v>20.65</v>
      </c>
      <c r="E18" s="5">
        <v>27.3</v>
      </c>
    </row>
    <row r="19" spans="1:5" ht="13.5" customHeight="1">
      <c r="A19" s="37">
        <v>35</v>
      </c>
      <c r="B19" s="5">
        <v>24.62</v>
      </c>
      <c r="C19" s="5">
        <v>35.11</v>
      </c>
      <c r="D19" s="5">
        <v>20.69</v>
      </c>
      <c r="E19" s="5">
        <v>27.4</v>
      </c>
    </row>
    <row r="20" spans="1:5" ht="13.5" customHeight="1">
      <c r="A20" s="37">
        <v>36</v>
      </c>
      <c r="B20" s="5">
        <v>25.77</v>
      </c>
      <c r="C20" s="5">
        <v>36.96</v>
      </c>
      <c r="D20" s="5">
        <v>21.61</v>
      </c>
      <c r="E20" s="5">
        <v>28.73</v>
      </c>
    </row>
    <row r="21" spans="1:5" ht="13.5" customHeight="1">
      <c r="A21" s="37">
        <v>37</v>
      </c>
      <c r="B21" s="5">
        <v>26.98</v>
      </c>
      <c r="C21" s="5">
        <v>38.9</v>
      </c>
      <c r="D21" s="5">
        <v>22.58</v>
      </c>
      <c r="E21" s="5">
        <v>30.13</v>
      </c>
    </row>
    <row r="22" spans="1:5" ht="13.5" customHeight="1">
      <c r="A22" s="37">
        <v>38</v>
      </c>
      <c r="B22" s="5">
        <v>28.24</v>
      </c>
      <c r="C22" s="5">
        <v>40.94</v>
      </c>
      <c r="D22" s="5">
        <v>23.58</v>
      </c>
      <c r="E22" s="5">
        <v>31.59</v>
      </c>
    </row>
    <row r="23" spans="1:5" ht="13.5" customHeight="1">
      <c r="A23" s="37">
        <v>39</v>
      </c>
      <c r="B23" s="5">
        <v>29.56</v>
      </c>
      <c r="C23" s="5">
        <v>43.08</v>
      </c>
      <c r="D23" s="5">
        <v>24.63</v>
      </c>
      <c r="E23" s="5">
        <v>33.130000000000003</v>
      </c>
    </row>
    <row r="24" spans="1:5" ht="13.5" customHeight="1">
      <c r="A24" s="37">
        <v>40</v>
      </c>
      <c r="B24" s="5">
        <v>30.94</v>
      </c>
      <c r="C24" s="5">
        <v>45.34</v>
      </c>
      <c r="D24" s="5">
        <v>25.73</v>
      </c>
      <c r="E24" s="5">
        <v>34.74</v>
      </c>
    </row>
    <row r="25" spans="1:5" ht="13.5" customHeight="1">
      <c r="A25" s="37">
        <v>41</v>
      </c>
      <c r="B25" s="5">
        <v>32.380000000000003</v>
      </c>
      <c r="C25" s="5">
        <v>47.72</v>
      </c>
      <c r="D25" s="5">
        <v>26.87</v>
      </c>
      <c r="E25" s="5">
        <v>36.43</v>
      </c>
    </row>
    <row r="26" spans="1:5" ht="13.5" customHeight="1">
      <c r="A26" s="37">
        <v>42</v>
      </c>
      <c r="B26" s="5">
        <v>33.9</v>
      </c>
      <c r="C26" s="5">
        <v>50.23</v>
      </c>
      <c r="D26" s="5">
        <v>28.07</v>
      </c>
      <c r="E26" s="5">
        <v>38.200000000000003</v>
      </c>
    </row>
    <row r="27" spans="1:5" ht="13.5" customHeight="1">
      <c r="A27" s="37">
        <v>43</v>
      </c>
      <c r="B27" s="5">
        <v>35.479999999999997</v>
      </c>
      <c r="C27" s="5">
        <v>52.86</v>
      </c>
      <c r="D27" s="5">
        <v>29.32</v>
      </c>
      <c r="E27" s="5">
        <v>40.06</v>
      </c>
    </row>
    <row r="28" spans="1:5" ht="13.5" customHeight="1">
      <c r="A28" s="37">
        <v>44</v>
      </c>
      <c r="B28" s="5">
        <v>37.14</v>
      </c>
      <c r="C28" s="5">
        <v>55.64</v>
      </c>
      <c r="D28" s="5">
        <v>30.62</v>
      </c>
      <c r="E28" s="5">
        <v>42</v>
      </c>
    </row>
    <row r="29" spans="1:5" ht="13.5" customHeight="1">
      <c r="A29" s="37">
        <v>45</v>
      </c>
      <c r="B29" s="5">
        <v>38.1</v>
      </c>
      <c r="C29" s="5">
        <v>58.55</v>
      </c>
      <c r="D29" s="5">
        <v>31.98</v>
      </c>
      <c r="E29" s="5">
        <v>44.05</v>
      </c>
    </row>
    <row r="30" spans="1:5" ht="13.5" customHeight="1">
      <c r="A30" s="37">
        <v>46</v>
      </c>
      <c r="B30" s="5">
        <v>38.97</v>
      </c>
      <c r="C30" s="5">
        <v>60.05</v>
      </c>
      <c r="D30" s="5">
        <v>32.57</v>
      </c>
      <c r="E30" s="5">
        <v>45.07</v>
      </c>
    </row>
    <row r="31" spans="1:5" ht="13.5" customHeight="1">
      <c r="A31" s="37">
        <v>47</v>
      </c>
      <c r="B31" s="5">
        <v>39.840000000000003</v>
      </c>
      <c r="C31" s="5">
        <v>61.5</v>
      </c>
      <c r="D31" s="5">
        <v>33.159999999999997</v>
      </c>
      <c r="E31" s="5">
        <v>46.11</v>
      </c>
    </row>
    <row r="32" spans="1:5" ht="13.5" customHeight="1">
      <c r="A32" s="37">
        <v>48</v>
      </c>
      <c r="B32" s="5">
        <v>40.26</v>
      </c>
      <c r="C32" s="5">
        <v>62.32</v>
      </c>
      <c r="D32" s="5">
        <v>33.57</v>
      </c>
      <c r="E32" s="5">
        <v>46.75</v>
      </c>
    </row>
    <row r="33" spans="1:5" ht="13.5" customHeight="1">
      <c r="A33" s="37">
        <v>49</v>
      </c>
      <c r="B33" s="5">
        <v>40.68</v>
      </c>
      <c r="C33" s="5">
        <v>63.15</v>
      </c>
      <c r="D33" s="5">
        <v>33.92</v>
      </c>
      <c r="E33" s="5">
        <v>47.18</v>
      </c>
    </row>
    <row r="34" spans="1:5" ht="13.5" customHeight="1">
      <c r="A34" s="37">
        <v>50</v>
      </c>
      <c r="B34" s="5">
        <v>41.11</v>
      </c>
      <c r="C34" s="5">
        <v>63.95</v>
      </c>
      <c r="D34" s="5">
        <v>34.270000000000003</v>
      </c>
      <c r="E34" s="5">
        <v>47.63</v>
      </c>
    </row>
    <row r="35" spans="1:5" ht="13.5" customHeight="1">
      <c r="A35" s="37">
        <v>51</v>
      </c>
      <c r="B35" s="5">
        <v>42.55</v>
      </c>
      <c r="C35" s="5">
        <v>65.959999999999994</v>
      </c>
      <c r="D35" s="5">
        <v>35.11</v>
      </c>
      <c r="E35" s="5">
        <v>49.12</v>
      </c>
    </row>
    <row r="36" spans="1:5" ht="13.5" customHeight="1">
      <c r="A36" s="37">
        <v>52</v>
      </c>
      <c r="B36" s="5">
        <v>44.11</v>
      </c>
      <c r="C36" s="5">
        <v>68</v>
      </c>
      <c r="D36" s="5">
        <v>36.07</v>
      </c>
      <c r="E36" s="5">
        <v>50.66</v>
      </c>
    </row>
    <row r="37" spans="1:5" ht="13.5" customHeight="1">
      <c r="A37" s="37">
        <v>53</v>
      </c>
      <c r="B37" s="5">
        <v>45.69</v>
      </c>
      <c r="C37" s="5">
        <v>71.42</v>
      </c>
      <c r="D37" s="5">
        <v>36.9</v>
      </c>
      <c r="E37" s="5">
        <v>52.9</v>
      </c>
    </row>
    <row r="38" spans="1:5" ht="13.5" customHeight="1">
      <c r="A38" s="37">
        <v>54</v>
      </c>
      <c r="B38" s="5">
        <v>47.25</v>
      </c>
      <c r="C38" s="5">
        <v>73.44</v>
      </c>
      <c r="D38" s="5">
        <v>37.6</v>
      </c>
      <c r="E38" s="5">
        <v>54.13</v>
      </c>
    </row>
    <row r="39" spans="1:5" ht="13.5" customHeight="1">
      <c r="A39" s="37">
        <v>55</v>
      </c>
      <c r="B39" s="5">
        <v>48.68</v>
      </c>
      <c r="C39" s="5">
        <v>75.31</v>
      </c>
      <c r="D39" s="5">
        <v>38.28</v>
      </c>
      <c r="E39" s="5">
        <v>55.39</v>
      </c>
    </row>
    <row r="40" spans="1:5" ht="13.5" customHeight="1">
      <c r="A40" s="37">
        <v>56</v>
      </c>
      <c r="B40" s="5">
        <v>50.39</v>
      </c>
      <c r="C40" s="5">
        <v>79.27</v>
      </c>
      <c r="D40" s="5">
        <v>39.58</v>
      </c>
      <c r="E40" s="5">
        <v>57.84</v>
      </c>
    </row>
    <row r="41" spans="1:5" ht="13.5" customHeight="1">
      <c r="A41" s="37">
        <v>57</v>
      </c>
      <c r="B41" s="5">
        <v>51.38</v>
      </c>
      <c r="C41" s="5">
        <v>83.44</v>
      </c>
      <c r="D41" s="5">
        <v>39.83</v>
      </c>
      <c r="E41" s="5">
        <v>60.4</v>
      </c>
    </row>
    <row r="42" spans="1:5" ht="13.5" customHeight="1">
      <c r="A42" s="37">
        <v>58</v>
      </c>
      <c r="B42" s="5">
        <v>52.42</v>
      </c>
      <c r="C42" s="5">
        <v>87.83</v>
      </c>
      <c r="D42" s="5">
        <v>40.270000000000003</v>
      </c>
      <c r="E42" s="5">
        <v>63.08</v>
      </c>
    </row>
    <row r="43" spans="1:5" ht="13.5" customHeight="1">
      <c r="A43" s="37">
        <v>59</v>
      </c>
      <c r="B43" s="5">
        <v>53.68</v>
      </c>
      <c r="C43" s="5">
        <v>92.44</v>
      </c>
      <c r="D43" s="5">
        <v>41.3</v>
      </c>
      <c r="E43" s="5">
        <v>65.88</v>
      </c>
    </row>
    <row r="44" spans="1:5" ht="13.5" customHeight="1">
      <c r="A44" s="37">
        <v>60</v>
      </c>
      <c r="B44" s="5">
        <v>55.96</v>
      </c>
      <c r="C44" s="5">
        <v>97.3</v>
      </c>
      <c r="D44" s="5">
        <v>43.38</v>
      </c>
      <c r="E44" s="5">
        <v>68.8</v>
      </c>
    </row>
    <row r="45" spans="1:5" ht="13.5" customHeight="1">
      <c r="A45" s="37">
        <v>61</v>
      </c>
      <c r="B45" s="5">
        <v>58.43</v>
      </c>
      <c r="C45" s="5">
        <v>102.41</v>
      </c>
      <c r="D45" s="5">
        <v>46.64</v>
      </c>
      <c r="E45" s="5">
        <v>71.849999999999994</v>
      </c>
    </row>
    <row r="46" spans="1:5" ht="13.5" customHeight="1">
      <c r="A46" s="37">
        <v>62</v>
      </c>
      <c r="B46" s="5">
        <v>62.15</v>
      </c>
      <c r="C46" s="5">
        <v>107.8</v>
      </c>
      <c r="D46" s="5">
        <v>49.92</v>
      </c>
      <c r="E46" s="5">
        <v>75.03</v>
      </c>
    </row>
    <row r="47" spans="1:5" ht="13.5" customHeight="1">
      <c r="A47" s="37">
        <v>63</v>
      </c>
      <c r="B47" s="5">
        <v>64.62</v>
      </c>
      <c r="C47" s="5">
        <v>113.46</v>
      </c>
      <c r="D47" s="5">
        <v>52.45</v>
      </c>
      <c r="E47" s="5">
        <v>78.36</v>
      </c>
    </row>
    <row r="48" spans="1:5" ht="13.5" customHeight="1">
      <c r="A48" s="37">
        <v>64</v>
      </c>
      <c r="B48" s="5">
        <v>68</v>
      </c>
      <c r="C48" s="5">
        <v>119.43</v>
      </c>
      <c r="D48" s="5">
        <v>54.8</v>
      </c>
      <c r="E48" s="5">
        <v>81.83</v>
      </c>
    </row>
    <row r="49" spans="1:5" ht="13.5" customHeight="1">
      <c r="A49" s="37">
        <v>65</v>
      </c>
      <c r="B49" s="5">
        <v>70.69</v>
      </c>
      <c r="C49" s="5">
        <v>125.7</v>
      </c>
      <c r="D49" s="5">
        <v>55.78</v>
      </c>
      <c r="E49" s="5">
        <v>85.45</v>
      </c>
    </row>
    <row r="50" spans="1:5" ht="13.5" customHeight="1">
      <c r="A50" s="37">
        <v>66</v>
      </c>
      <c r="B50" s="5">
        <v>74.86</v>
      </c>
      <c r="C50" s="5">
        <v>133.01</v>
      </c>
      <c r="D50" s="5">
        <v>59.54</v>
      </c>
      <c r="E50" s="5">
        <v>90.56</v>
      </c>
    </row>
    <row r="51" spans="1:5" ht="13.5" customHeight="1">
      <c r="A51" s="37">
        <v>67</v>
      </c>
      <c r="B51" s="5">
        <v>79.78</v>
      </c>
      <c r="C51" s="5">
        <v>140.75</v>
      </c>
      <c r="D51" s="5">
        <v>62.27</v>
      </c>
      <c r="E51" s="5">
        <v>95.98</v>
      </c>
    </row>
    <row r="52" spans="1:5" ht="13.5" customHeight="1">
      <c r="A52" s="37">
        <v>68</v>
      </c>
      <c r="B52" s="5">
        <v>84.67</v>
      </c>
      <c r="C52" s="5">
        <v>148.93</v>
      </c>
      <c r="D52" s="5">
        <v>65.489999999999995</v>
      </c>
      <c r="E52" s="5">
        <v>101.72</v>
      </c>
    </row>
    <row r="53" spans="1:5" ht="13.5" customHeight="1">
      <c r="A53" s="37">
        <v>69</v>
      </c>
      <c r="B53" s="5">
        <v>89.57</v>
      </c>
      <c r="C53" s="5">
        <v>157.59</v>
      </c>
      <c r="D53" s="5">
        <v>68.19</v>
      </c>
      <c r="E53" s="5">
        <v>107.8</v>
      </c>
    </row>
    <row r="54" spans="1:5" ht="13.5" customHeight="1">
      <c r="A54" s="37">
        <v>70</v>
      </c>
      <c r="B54" s="5">
        <v>95.88</v>
      </c>
      <c r="C54" s="5">
        <v>166.76</v>
      </c>
      <c r="D54" s="5">
        <v>71.58</v>
      </c>
      <c r="E54" s="5">
        <v>112.81</v>
      </c>
    </row>
    <row r="55" spans="1:5" ht="13.5" customHeight="1">
      <c r="A55" s="37">
        <v>71</v>
      </c>
      <c r="B55" s="5">
        <v>101.83</v>
      </c>
      <c r="C55" s="5">
        <v>176.45</v>
      </c>
      <c r="D55" s="5">
        <v>76.38</v>
      </c>
      <c r="E55" s="5">
        <v>120.59</v>
      </c>
    </row>
    <row r="56" spans="1:5" ht="13.5" customHeight="1">
      <c r="A56" s="37">
        <v>72</v>
      </c>
      <c r="B56" s="5">
        <v>109.18</v>
      </c>
      <c r="C56" s="5">
        <v>186.71</v>
      </c>
      <c r="D56" s="5">
        <v>80.03</v>
      </c>
      <c r="E56" s="5">
        <v>128.32</v>
      </c>
    </row>
    <row r="57" spans="1:5" ht="13.5" customHeight="1">
      <c r="A57" s="37">
        <v>73</v>
      </c>
      <c r="B57" s="5">
        <v>116.53</v>
      </c>
      <c r="C57" s="5">
        <v>197.57</v>
      </c>
      <c r="D57" s="5">
        <v>85.97</v>
      </c>
      <c r="E57" s="5">
        <v>135.99</v>
      </c>
    </row>
    <row r="58" spans="1:5" ht="13.5" customHeight="1">
      <c r="A58" s="37">
        <v>74</v>
      </c>
      <c r="B58" s="5">
        <v>123.89</v>
      </c>
      <c r="C58" s="5">
        <v>209.06</v>
      </c>
      <c r="D58" s="5">
        <v>90.72</v>
      </c>
      <c r="E58" s="5">
        <v>144.12</v>
      </c>
    </row>
    <row r="59" spans="1:5" ht="13.5" customHeight="1">
      <c r="A59" s="37">
        <v>75</v>
      </c>
      <c r="B59" s="5">
        <v>131.96</v>
      </c>
      <c r="C59" s="5">
        <v>221.22</v>
      </c>
      <c r="D59" s="5">
        <v>95.67</v>
      </c>
      <c r="E59" s="5">
        <v>152.74</v>
      </c>
    </row>
    <row r="60" spans="1:5" ht="13.5" customHeight="1">
      <c r="A60" s="37">
        <v>76</v>
      </c>
      <c r="B60" s="5">
        <v>144.80000000000001</v>
      </c>
      <c r="C60" s="5">
        <v>236.27</v>
      </c>
      <c r="D60" s="5">
        <v>106.97</v>
      </c>
      <c r="E60" s="5">
        <v>164.44</v>
      </c>
    </row>
    <row r="61" spans="1:5" ht="13.5" customHeight="1">
      <c r="A61" s="37">
        <v>77</v>
      </c>
      <c r="B61" s="5">
        <v>157.11000000000001</v>
      </c>
      <c r="C61" s="5">
        <v>252.34</v>
      </c>
      <c r="D61" s="5">
        <v>117.59</v>
      </c>
      <c r="E61" s="5">
        <v>177.04</v>
      </c>
    </row>
    <row r="62" spans="1:5" ht="13.5" customHeight="1">
      <c r="A62" s="37">
        <v>78</v>
      </c>
      <c r="B62" s="5">
        <v>169.53</v>
      </c>
      <c r="C62" s="5">
        <v>269.51</v>
      </c>
      <c r="D62" s="5">
        <v>128.54</v>
      </c>
      <c r="E62" s="5">
        <v>190.6</v>
      </c>
    </row>
    <row r="63" spans="1:5" ht="13.5" customHeight="1">
      <c r="A63" s="37">
        <v>79</v>
      </c>
      <c r="B63" s="5">
        <v>182.27</v>
      </c>
      <c r="C63" s="5">
        <v>287.85000000000002</v>
      </c>
      <c r="D63" s="5">
        <v>139.83000000000001</v>
      </c>
      <c r="E63" s="5">
        <v>205.2</v>
      </c>
    </row>
    <row r="64" spans="1:5" ht="13.5" customHeight="1">
      <c r="A64" s="37">
        <v>80</v>
      </c>
      <c r="B64" s="5">
        <v>196.15</v>
      </c>
      <c r="C64" s="5">
        <v>307.44</v>
      </c>
      <c r="D64" s="5">
        <v>151.99</v>
      </c>
      <c r="E64" s="5">
        <v>220.92</v>
      </c>
    </row>
    <row r="65" spans="1:5" ht="13.5" customHeight="1">
      <c r="A65" s="37">
        <v>81</v>
      </c>
      <c r="B65" s="5">
        <v>210.78</v>
      </c>
      <c r="C65" s="5">
        <v>328.36</v>
      </c>
      <c r="D65" s="5">
        <v>164.52</v>
      </c>
      <c r="E65" s="5">
        <v>237.84</v>
      </c>
    </row>
    <row r="66" spans="1:5" ht="13.5" customHeight="1">
      <c r="A66" s="37">
        <v>82</v>
      </c>
      <c r="B66" s="5">
        <v>227.78</v>
      </c>
      <c r="C66" s="5">
        <v>350.7</v>
      </c>
      <c r="D66" s="5">
        <v>179.81</v>
      </c>
      <c r="E66" s="5">
        <v>256.06</v>
      </c>
    </row>
    <row r="67" spans="1:5" ht="13.5" customHeight="1">
      <c r="A67" s="37">
        <v>83</v>
      </c>
      <c r="B67" s="5">
        <v>246.16</v>
      </c>
      <c r="C67" s="5">
        <v>374.56</v>
      </c>
      <c r="D67" s="5">
        <v>196.52</v>
      </c>
      <c r="E67" s="5">
        <v>275.67</v>
      </c>
    </row>
    <row r="68" spans="1:5" ht="13.5" customHeight="1">
      <c r="A68" s="37">
        <v>84</v>
      </c>
      <c r="B68" s="5">
        <v>266.01</v>
      </c>
      <c r="C68" s="5">
        <v>400.05</v>
      </c>
      <c r="D68" s="5">
        <v>214.78</v>
      </c>
      <c r="E68" s="5">
        <v>296.79000000000002</v>
      </c>
    </row>
    <row r="69" spans="1:5" ht="13.5" customHeight="1">
      <c r="A69" s="37">
        <v>85</v>
      </c>
      <c r="B69" s="5">
        <v>287.45999999999998</v>
      </c>
      <c r="C69" s="5">
        <v>427.27</v>
      </c>
      <c r="D69" s="5">
        <v>233.96</v>
      </c>
      <c r="E69" s="5">
        <v>319.52999999999997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E486A-6554-42BA-A8BC-565DAC510A29}">
  <dimension ref="A1:E64"/>
  <sheetViews>
    <sheetView topLeftCell="A20" workbookViewId="0">
      <selection activeCell="F32" sqref="F32"/>
    </sheetView>
  </sheetViews>
  <sheetFormatPr defaultColWidth="16.5703125" defaultRowHeight="12" customHeight="1"/>
  <cols>
    <col min="1" max="1" width="11.28515625" style="6" customWidth="1"/>
    <col min="2" max="16384" width="16.5703125" style="6"/>
  </cols>
  <sheetData>
    <row r="1" spans="1:5" ht="12" customHeight="1">
      <c r="A1" s="3" t="s">
        <v>8</v>
      </c>
      <c r="B1" s="4" t="s">
        <v>9</v>
      </c>
      <c r="C1" s="4" t="s">
        <v>11</v>
      </c>
      <c r="D1" s="4" t="s">
        <v>10</v>
      </c>
      <c r="E1" s="4" t="s">
        <v>12</v>
      </c>
    </row>
    <row r="2" spans="1:5" ht="12" customHeight="1">
      <c r="A2" s="1">
        <v>18</v>
      </c>
      <c r="B2" s="5">
        <v>27.21</v>
      </c>
      <c r="C2" s="5">
        <v>24.3</v>
      </c>
      <c r="D2" s="5">
        <v>31.68</v>
      </c>
      <c r="E2" s="5">
        <v>25.05</v>
      </c>
    </row>
    <row r="3" spans="1:5" ht="12" customHeight="1">
      <c r="A3" s="1">
        <v>19</v>
      </c>
      <c r="B3" s="5">
        <v>27.27</v>
      </c>
      <c r="C3" s="5">
        <v>24.7</v>
      </c>
      <c r="D3" s="5">
        <v>32.93</v>
      </c>
      <c r="E3" s="5">
        <v>26.08</v>
      </c>
    </row>
    <row r="4" spans="1:5" ht="12" customHeight="1">
      <c r="A4" s="1">
        <v>20</v>
      </c>
      <c r="B4" s="5">
        <v>27.34</v>
      </c>
      <c r="C4" s="5">
        <v>25.1</v>
      </c>
      <c r="D4" s="5">
        <v>34.200000000000003</v>
      </c>
      <c r="E4" s="5">
        <v>27.89</v>
      </c>
    </row>
    <row r="5" spans="1:5" ht="12" customHeight="1">
      <c r="A5" s="1">
        <v>21</v>
      </c>
      <c r="B5" s="5">
        <v>28.12</v>
      </c>
      <c r="C5" s="5">
        <v>25.35</v>
      </c>
      <c r="D5" s="5">
        <v>35.4</v>
      </c>
      <c r="E5" s="5">
        <v>28.68</v>
      </c>
    </row>
    <row r="6" spans="1:5" ht="12" customHeight="1">
      <c r="A6" s="1">
        <v>22</v>
      </c>
      <c r="B6" s="5">
        <v>28.93</v>
      </c>
      <c r="C6" s="5">
        <v>25.6</v>
      </c>
      <c r="D6" s="5">
        <v>36.619999999999997</v>
      </c>
      <c r="E6" s="5">
        <v>29.1</v>
      </c>
    </row>
    <row r="7" spans="1:5" ht="12" customHeight="1">
      <c r="A7" s="1">
        <v>23</v>
      </c>
      <c r="B7" s="5">
        <v>29.74</v>
      </c>
      <c r="C7" s="5">
        <v>25.86</v>
      </c>
      <c r="D7" s="5">
        <v>37.9</v>
      </c>
      <c r="E7" s="5">
        <v>29.89</v>
      </c>
    </row>
    <row r="8" spans="1:5" ht="12" customHeight="1">
      <c r="A8" s="1">
        <v>24</v>
      </c>
      <c r="B8" s="5">
        <v>30.59</v>
      </c>
      <c r="C8" s="5">
        <v>26.1</v>
      </c>
      <c r="D8" s="5">
        <v>39.22</v>
      </c>
      <c r="E8" s="5">
        <v>30.86</v>
      </c>
    </row>
    <row r="9" spans="1:5" ht="12" customHeight="1">
      <c r="A9" s="1">
        <v>25</v>
      </c>
      <c r="B9" s="5">
        <v>30.92</v>
      </c>
      <c r="C9" s="5">
        <v>26.36</v>
      </c>
      <c r="D9" s="5">
        <v>39.89</v>
      </c>
      <c r="E9" s="5">
        <v>31.86</v>
      </c>
    </row>
    <row r="10" spans="1:5" ht="12" customHeight="1">
      <c r="A10" s="1">
        <v>26</v>
      </c>
      <c r="B10" s="5">
        <v>31.24</v>
      </c>
      <c r="C10" s="5">
        <v>26.42</v>
      </c>
      <c r="D10" s="5">
        <v>40.549999999999997</v>
      </c>
      <c r="E10" s="5">
        <v>32.46</v>
      </c>
    </row>
    <row r="11" spans="1:5" ht="12" customHeight="1">
      <c r="A11" s="1">
        <v>27</v>
      </c>
      <c r="B11" s="5">
        <v>31.31</v>
      </c>
      <c r="C11" s="5">
        <v>26.47</v>
      </c>
      <c r="D11" s="5">
        <v>40.619999999999997</v>
      </c>
      <c r="E11" s="5">
        <v>33.07</v>
      </c>
    </row>
    <row r="12" spans="1:5" ht="12" customHeight="1">
      <c r="A12" s="1">
        <v>28</v>
      </c>
      <c r="B12" s="5">
        <v>31.39</v>
      </c>
      <c r="C12" s="5">
        <v>26.52</v>
      </c>
      <c r="D12" s="5">
        <v>40.700000000000003</v>
      </c>
      <c r="E12" s="5">
        <v>33.68</v>
      </c>
    </row>
    <row r="13" spans="1:5" ht="12" customHeight="1">
      <c r="A13" s="1">
        <v>29</v>
      </c>
      <c r="B13" s="5">
        <v>31.48</v>
      </c>
      <c r="C13" s="5">
        <v>26.59</v>
      </c>
      <c r="D13" s="5">
        <v>40.79</v>
      </c>
      <c r="E13" s="5">
        <v>34.32</v>
      </c>
    </row>
    <row r="14" spans="1:5" ht="12" customHeight="1">
      <c r="A14" s="1">
        <v>30</v>
      </c>
      <c r="B14" s="5">
        <v>31.58</v>
      </c>
      <c r="C14" s="5">
        <v>26.64</v>
      </c>
      <c r="D14" s="5">
        <v>40.89</v>
      </c>
      <c r="E14" s="5">
        <v>34.97</v>
      </c>
    </row>
    <row r="15" spans="1:5" ht="12" customHeight="1">
      <c r="A15" s="1">
        <v>31</v>
      </c>
      <c r="B15" s="5">
        <v>31.69</v>
      </c>
      <c r="C15" s="5">
        <v>27.36</v>
      </c>
      <c r="D15" s="5">
        <v>41.41</v>
      </c>
      <c r="E15" s="5">
        <v>35.1</v>
      </c>
    </row>
    <row r="16" spans="1:5" ht="12" customHeight="1">
      <c r="A16" s="1">
        <v>32</v>
      </c>
      <c r="B16" s="5">
        <v>31.81</v>
      </c>
      <c r="C16" s="5">
        <v>28.18</v>
      </c>
      <c r="D16" s="5">
        <v>42.43</v>
      </c>
      <c r="E16" s="5">
        <v>35.229999999999997</v>
      </c>
    </row>
    <row r="17" spans="1:5" ht="12" customHeight="1">
      <c r="A17" s="1">
        <v>33</v>
      </c>
      <c r="B17" s="5">
        <v>32.03</v>
      </c>
      <c r="C17" s="5">
        <v>29.02</v>
      </c>
      <c r="D17" s="5">
        <v>43.47</v>
      </c>
      <c r="E17" s="5">
        <v>35.36</v>
      </c>
    </row>
    <row r="18" spans="1:5" ht="12" customHeight="1">
      <c r="A18" s="1">
        <v>34</v>
      </c>
      <c r="B18" s="5">
        <v>32.71</v>
      </c>
      <c r="C18" s="5">
        <v>29.66</v>
      </c>
      <c r="D18" s="5">
        <v>44.55</v>
      </c>
      <c r="E18" s="5">
        <v>35.49</v>
      </c>
    </row>
    <row r="19" spans="1:5" ht="12" customHeight="1">
      <c r="A19" s="1">
        <v>35</v>
      </c>
      <c r="B19" s="5">
        <v>33.22</v>
      </c>
      <c r="C19" s="5">
        <v>30.16</v>
      </c>
      <c r="D19" s="5">
        <v>45.64</v>
      </c>
      <c r="E19" s="5">
        <v>35.619999999999997</v>
      </c>
    </row>
    <row r="20" spans="1:5" ht="12" customHeight="1">
      <c r="A20" s="1">
        <v>36</v>
      </c>
      <c r="B20" s="5">
        <v>34.479999999999997</v>
      </c>
      <c r="C20" s="5">
        <v>31.43</v>
      </c>
      <c r="D20" s="5">
        <v>48.05</v>
      </c>
      <c r="E20" s="5">
        <v>37.35</v>
      </c>
    </row>
    <row r="21" spans="1:5" ht="12" customHeight="1">
      <c r="A21" s="1">
        <v>37</v>
      </c>
      <c r="B21" s="5">
        <v>35.53</v>
      </c>
      <c r="C21" s="5">
        <v>32.479999999999997</v>
      </c>
      <c r="D21" s="5">
        <v>50.57</v>
      </c>
      <c r="E21" s="5">
        <v>39.17</v>
      </c>
    </row>
    <row r="22" spans="1:5" ht="12" customHeight="1">
      <c r="A22" s="1">
        <v>38</v>
      </c>
      <c r="B22" s="5">
        <v>36.71</v>
      </c>
      <c r="C22" s="5">
        <v>33.479999999999997</v>
      </c>
      <c r="D22" s="5">
        <v>53.22</v>
      </c>
      <c r="E22" s="5">
        <v>41.07</v>
      </c>
    </row>
    <row r="23" spans="1:5" ht="12" customHeight="1">
      <c r="A23" s="1">
        <v>39</v>
      </c>
      <c r="B23" s="5">
        <v>38.43</v>
      </c>
      <c r="C23" s="5">
        <v>34.450000000000003</v>
      </c>
      <c r="D23" s="5">
        <v>56</v>
      </c>
      <c r="E23" s="5">
        <v>43.07</v>
      </c>
    </row>
    <row r="24" spans="1:5" ht="12" customHeight="1">
      <c r="A24" s="1">
        <v>40</v>
      </c>
      <c r="B24" s="5">
        <v>40.22</v>
      </c>
      <c r="C24" s="5">
        <v>35.33</v>
      </c>
      <c r="D24" s="5">
        <v>58.94</v>
      </c>
      <c r="E24" s="5">
        <v>45.16</v>
      </c>
    </row>
    <row r="25" spans="1:5" ht="12" customHeight="1">
      <c r="A25" s="1">
        <v>41</v>
      </c>
      <c r="B25" s="5">
        <v>42.09</v>
      </c>
      <c r="C25" s="5">
        <v>36.99</v>
      </c>
      <c r="D25" s="5">
        <v>62.04</v>
      </c>
      <c r="E25" s="5">
        <v>47.36</v>
      </c>
    </row>
    <row r="26" spans="1:5" ht="12" customHeight="1">
      <c r="A26" s="1">
        <v>42</v>
      </c>
      <c r="B26" s="5">
        <v>44.07</v>
      </c>
      <c r="C26" s="5">
        <v>38.68</v>
      </c>
      <c r="D26" s="5">
        <v>65.3</v>
      </c>
      <c r="E26" s="5">
        <v>49.66</v>
      </c>
    </row>
    <row r="27" spans="1:5" ht="12" customHeight="1">
      <c r="A27" s="1">
        <v>43</v>
      </c>
      <c r="B27" s="5">
        <v>46.12</v>
      </c>
      <c r="C27" s="5">
        <v>40.479999999999997</v>
      </c>
      <c r="D27" s="5">
        <v>68.72</v>
      </c>
      <c r="E27" s="5">
        <v>52.08</v>
      </c>
    </row>
    <row r="28" spans="1:5" ht="12" customHeight="1">
      <c r="A28" s="1">
        <v>44</v>
      </c>
      <c r="B28" s="5">
        <v>48.28</v>
      </c>
      <c r="C28" s="5">
        <v>42.44</v>
      </c>
      <c r="D28" s="5">
        <v>72.33</v>
      </c>
      <c r="E28" s="5">
        <v>54.6</v>
      </c>
    </row>
    <row r="29" spans="1:5" ht="12" customHeight="1">
      <c r="A29" s="1">
        <v>45</v>
      </c>
      <c r="B29" s="5">
        <v>51.81</v>
      </c>
      <c r="C29" s="5">
        <v>48.51</v>
      </c>
      <c r="D29" s="5">
        <v>76.12</v>
      </c>
      <c r="E29" s="5">
        <v>57.27</v>
      </c>
    </row>
    <row r="30" spans="1:5" ht="12" customHeight="1">
      <c r="A30" s="2">
        <v>46</v>
      </c>
      <c r="B30" s="5">
        <v>56.8</v>
      </c>
      <c r="C30" s="5">
        <v>52.95</v>
      </c>
      <c r="D30" s="5">
        <v>78.069999999999993</v>
      </c>
      <c r="E30" s="5">
        <v>58.91</v>
      </c>
    </row>
    <row r="31" spans="1:5" ht="12" customHeight="1">
      <c r="A31" s="1">
        <v>47</v>
      </c>
      <c r="B31" s="5">
        <v>56.3</v>
      </c>
      <c r="C31" s="5">
        <v>62.54</v>
      </c>
      <c r="D31" s="5">
        <v>58.2</v>
      </c>
      <c r="E31" s="5">
        <v>79.95</v>
      </c>
    </row>
    <row r="32" spans="1:5" ht="12" customHeight="1">
      <c r="A32" s="1">
        <v>48</v>
      </c>
      <c r="B32" s="5">
        <v>59.95</v>
      </c>
      <c r="C32" s="5">
        <v>66.48</v>
      </c>
      <c r="D32" s="5">
        <v>59.72</v>
      </c>
      <c r="E32" s="5">
        <v>81.02</v>
      </c>
    </row>
    <row r="33" spans="1:5" ht="12" customHeight="1">
      <c r="A33" s="1">
        <v>49</v>
      </c>
      <c r="B33" s="5">
        <v>62.93</v>
      </c>
      <c r="C33" s="5">
        <v>66.67</v>
      </c>
      <c r="D33" s="5">
        <v>61.13</v>
      </c>
      <c r="E33" s="5">
        <v>82.1</v>
      </c>
    </row>
    <row r="34" spans="1:5" ht="12" customHeight="1">
      <c r="A34" s="1">
        <v>50</v>
      </c>
      <c r="B34" s="5">
        <v>63.06</v>
      </c>
      <c r="C34" s="5">
        <v>67.53</v>
      </c>
      <c r="D34" s="5">
        <v>61.91</v>
      </c>
      <c r="E34" s="5">
        <v>83.14</v>
      </c>
    </row>
    <row r="35" spans="1:5" ht="12" customHeight="1">
      <c r="A35" s="1">
        <v>51</v>
      </c>
      <c r="B35" s="5">
        <v>63.19</v>
      </c>
      <c r="C35" s="5">
        <v>70.37</v>
      </c>
      <c r="D35" s="5">
        <v>62.69</v>
      </c>
      <c r="E35" s="5">
        <v>85.75</v>
      </c>
    </row>
    <row r="36" spans="1:5" ht="12" customHeight="1">
      <c r="A36" s="1">
        <v>52</v>
      </c>
      <c r="B36" s="5">
        <v>64.569999999999993</v>
      </c>
      <c r="C36" s="5">
        <v>73.34</v>
      </c>
      <c r="D36" s="5">
        <v>65.28</v>
      </c>
      <c r="E36" s="5">
        <v>88.4</v>
      </c>
    </row>
    <row r="37" spans="1:5" ht="12" customHeight="1">
      <c r="A37" s="1">
        <v>53</v>
      </c>
      <c r="B37" s="5">
        <v>65.97</v>
      </c>
      <c r="C37" s="5">
        <v>76.42</v>
      </c>
      <c r="D37" s="5">
        <v>67.88</v>
      </c>
      <c r="E37" s="5">
        <v>92.85</v>
      </c>
    </row>
    <row r="38" spans="1:5" ht="12" customHeight="1">
      <c r="A38" s="1">
        <v>54</v>
      </c>
      <c r="B38" s="5">
        <v>67.41</v>
      </c>
      <c r="C38" s="5">
        <v>79.64</v>
      </c>
      <c r="D38" s="5">
        <v>70.489999999999995</v>
      </c>
      <c r="E38" s="5">
        <v>95.47</v>
      </c>
    </row>
    <row r="39" spans="1:5" ht="12" customHeight="1">
      <c r="A39" s="1">
        <v>55</v>
      </c>
      <c r="B39" s="5">
        <v>68.87</v>
      </c>
      <c r="C39" s="5">
        <v>82.99</v>
      </c>
      <c r="D39" s="5">
        <v>72.47</v>
      </c>
      <c r="E39" s="5">
        <v>97.9</v>
      </c>
    </row>
    <row r="40" spans="1:5" ht="12" customHeight="1">
      <c r="A40" s="1">
        <v>56</v>
      </c>
      <c r="B40" s="5">
        <v>69.349999999999994</v>
      </c>
      <c r="C40" s="5">
        <v>83.03</v>
      </c>
      <c r="D40" s="5">
        <v>80.12</v>
      </c>
      <c r="E40" s="5">
        <v>103.05</v>
      </c>
    </row>
    <row r="41" spans="1:5" ht="12" customHeight="1">
      <c r="A41" s="1">
        <v>57</v>
      </c>
      <c r="B41" s="5">
        <v>69.8</v>
      </c>
      <c r="C41" s="5">
        <v>83.07</v>
      </c>
      <c r="D41" s="5">
        <v>82.68</v>
      </c>
      <c r="E41" s="5">
        <v>108.47</v>
      </c>
    </row>
    <row r="42" spans="1:5" ht="12" customHeight="1">
      <c r="A42" s="1">
        <v>58</v>
      </c>
      <c r="B42" s="5">
        <v>70.2</v>
      </c>
      <c r="C42" s="5">
        <v>83.11</v>
      </c>
      <c r="D42" s="5">
        <v>85.33</v>
      </c>
      <c r="E42" s="5">
        <v>114.18</v>
      </c>
    </row>
    <row r="43" spans="1:5" ht="12" customHeight="1">
      <c r="A43" s="1">
        <v>59</v>
      </c>
      <c r="B43" s="5">
        <v>70.56</v>
      </c>
      <c r="C43" s="5">
        <v>85.64</v>
      </c>
      <c r="D43" s="5">
        <v>86.33</v>
      </c>
      <c r="E43" s="5">
        <v>120.17</v>
      </c>
    </row>
    <row r="44" spans="1:5" ht="12" customHeight="1">
      <c r="A44" s="1">
        <v>60</v>
      </c>
      <c r="B44" s="5">
        <v>70.87</v>
      </c>
      <c r="C44" s="5">
        <v>89.44</v>
      </c>
      <c r="D44" s="5">
        <v>87.03</v>
      </c>
      <c r="E44" s="5">
        <v>126.49</v>
      </c>
    </row>
    <row r="45" spans="1:5" ht="12" customHeight="1">
      <c r="A45" s="1">
        <v>61</v>
      </c>
      <c r="B45" s="5">
        <v>74.06</v>
      </c>
      <c r="C45" s="5">
        <v>93.41</v>
      </c>
      <c r="D45" s="5">
        <v>89.4</v>
      </c>
      <c r="E45" s="5">
        <v>133.13</v>
      </c>
    </row>
    <row r="46" spans="1:5" ht="12" customHeight="1">
      <c r="A46" s="1">
        <v>62</v>
      </c>
      <c r="B46" s="5">
        <v>77.38</v>
      </c>
      <c r="C46" s="5">
        <v>97.54</v>
      </c>
      <c r="D46" s="5">
        <v>94.15</v>
      </c>
      <c r="E46" s="5">
        <v>140.13999999999999</v>
      </c>
    </row>
    <row r="47" spans="1:5" ht="12" customHeight="1">
      <c r="A47" s="1">
        <v>63</v>
      </c>
      <c r="B47" s="5">
        <v>80.84</v>
      </c>
      <c r="C47" s="5">
        <v>101.87</v>
      </c>
      <c r="D47" s="5">
        <v>99.12</v>
      </c>
      <c r="E47" s="5">
        <v>147.5</v>
      </c>
    </row>
    <row r="48" spans="1:5" ht="12" customHeight="1">
      <c r="A48" s="1">
        <v>64</v>
      </c>
      <c r="B48" s="5">
        <v>84.43</v>
      </c>
      <c r="C48" s="5">
        <v>106.38</v>
      </c>
      <c r="D48" s="5">
        <v>104.3</v>
      </c>
      <c r="E48" s="5">
        <v>155.26</v>
      </c>
    </row>
    <row r="49" spans="1:5" ht="12" customHeight="1">
      <c r="A49" s="1">
        <v>65</v>
      </c>
      <c r="B49" s="5">
        <v>88.17</v>
      </c>
      <c r="C49" s="5">
        <v>111.09</v>
      </c>
      <c r="D49" s="5">
        <v>109.71</v>
      </c>
      <c r="E49" s="5">
        <v>163.41</v>
      </c>
    </row>
    <row r="50" spans="1:5" ht="12" customHeight="1">
      <c r="A50" s="1">
        <v>66</v>
      </c>
      <c r="B50" s="5">
        <v>93.53</v>
      </c>
      <c r="C50" s="5">
        <v>117.73</v>
      </c>
      <c r="D50" s="5">
        <v>117.01</v>
      </c>
      <c r="E50" s="5">
        <v>172.91</v>
      </c>
    </row>
    <row r="51" spans="1:5" ht="12" customHeight="1">
      <c r="A51" s="1">
        <v>67</v>
      </c>
      <c r="B51" s="5">
        <v>99.21</v>
      </c>
      <c r="C51" s="5">
        <v>124.77</v>
      </c>
      <c r="D51" s="5">
        <v>124.8</v>
      </c>
      <c r="E51" s="5">
        <v>182.98</v>
      </c>
    </row>
    <row r="52" spans="1:5" ht="12" customHeight="1">
      <c r="A52" s="1">
        <v>68</v>
      </c>
      <c r="B52" s="5">
        <v>105.23</v>
      </c>
      <c r="C52" s="5">
        <v>132.24</v>
      </c>
      <c r="D52" s="5">
        <v>133.11000000000001</v>
      </c>
      <c r="E52" s="5">
        <v>193.61</v>
      </c>
    </row>
    <row r="53" spans="1:5" ht="12" customHeight="1">
      <c r="A53" s="1">
        <v>69</v>
      </c>
      <c r="B53" s="5">
        <v>111.63</v>
      </c>
      <c r="C53" s="5">
        <v>140.13999999999999</v>
      </c>
      <c r="D53" s="5">
        <v>141.97</v>
      </c>
      <c r="E53" s="5">
        <v>204.87</v>
      </c>
    </row>
    <row r="54" spans="1:5" ht="12" customHeight="1">
      <c r="A54" s="1">
        <v>70</v>
      </c>
      <c r="B54" s="5">
        <v>118.41</v>
      </c>
      <c r="C54" s="5">
        <v>146.65</v>
      </c>
      <c r="D54" s="5">
        <v>151.41999999999999</v>
      </c>
      <c r="E54" s="5">
        <v>216.79</v>
      </c>
    </row>
    <row r="55" spans="1:5" ht="12" customHeight="1">
      <c r="A55" s="1">
        <v>71</v>
      </c>
      <c r="B55" s="5">
        <v>124.13</v>
      </c>
      <c r="C55" s="5">
        <v>156.77000000000001</v>
      </c>
      <c r="D55" s="5">
        <v>161.46</v>
      </c>
      <c r="E55" s="5">
        <v>229.39</v>
      </c>
    </row>
    <row r="56" spans="1:5" ht="12" customHeight="1">
      <c r="A56" s="1">
        <v>72</v>
      </c>
      <c r="B56" s="5">
        <v>130.12</v>
      </c>
      <c r="C56" s="5">
        <v>166.82</v>
      </c>
      <c r="D56" s="5">
        <v>172.17</v>
      </c>
      <c r="E56" s="5">
        <v>242.72</v>
      </c>
    </row>
    <row r="57" spans="1:5" ht="12" customHeight="1">
      <c r="A57" s="1">
        <v>73</v>
      </c>
      <c r="B57" s="5">
        <v>136.37</v>
      </c>
      <c r="C57" s="5">
        <v>176.79</v>
      </c>
      <c r="D57" s="5">
        <v>183.59</v>
      </c>
      <c r="E57" s="5">
        <v>256.83999999999997</v>
      </c>
    </row>
    <row r="58" spans="1:5" ht="12" customHeight="1">
      <c r="A58" s="1">
        <v>74</v>
      </c>
      <c r="B58" s="5">
        <v>142.91</v>
      </c>
      <c r="C58" s="5">
        <v>187.36</v>
      </c>
      <c r="D58" s="5">
        <v>195.77</v>
      </c>
      <c r="E58" s="5">
        <v>271.77999999999997</v>
      </c>
    </row>
    <row r="59" spans="1:5" ht="12" customHeight="1">
      <c r="A59" s="1">
        <v>75</v>
      </c>
      <c r="B59" s="5">
        <v>149.72999999999999</v>
      </c>
      <c r="C59" s="5">
        <v>198.56</v>
      </c>
      <c r="D59" s="5">
        <v>208.75</v>
      </c>
      <c r="E59" s="5">
        <v>287.58999999999997</v>
      </c>
    </row>
    <row r="60" spans="1:5" ht="12" customHeight="1">
      <c r="A60" s="1">
        <v>76</v>
      </c>
      <c r="B60" s="5">
        <v>159.9</v>
      </c>
      <c r="C60" s="5">
        <v>213.77</v>
      </c>
      <c r="D60" s="5">
        <v>220.26</v>
      </c>
      <c r="E60" s="5">
        <v>307.14999999999998</v>
      </c>
    </row>
    <row r="61" spans="1:5" ht="12" customHeight="1">
      <c r="A61" s="1">
        <v>77</v>
      </c>
      <c r="B61" s="5">
        <v>170.19</v>
      </c>
      <c r="C61" s="5">
        <v>230.15</v>
      </c>
      <c r="D61" s="5">
        <v>231.96</v>
      </c>
      <c r="E61" s="5">
        <v>328.04</v>
      </c>
    </row>
    <row r="62" spans="1:5" ht="12" customHeight="1">
      <c r="A62" s="1">
        <v>78</v>
      </c>
      <c r="B62" s="5">
        <v>180.63</v>
      </c>
      <c r="C62" s="5">
        <v>240.02</v>
      </c>
      <c r="D62" s="5">
        <v>243.84</v>
      </c>
      <c r="E62" s="5">
        <v>336.59</v>
      </c>
    </row>
    <row r="63" spans="1:5" ht="12" customHeight="1">
      <c r="A63" s="1">
        <v>79</v>
      </c>
      <c r="B63" s="5">
        <v>191.19</v>
      </c>
      <c r="C63" s="5">
        <v>242.14</v>
      </c>
      <c r="D63" s="5">
        <v>255.92</v>
      </c>
      <c r="E63" s="5">
        <v>338.7</v>
      </c>
    </row>
    <row r="64" spans="1:5" ht="12" customHeight="1">
      <c r="A64" s="1">
        <v>80</v>
      </c>
      <c r="B64" s="5">
        <v>201.89</v>
      </c>
      <c r="C64" s="5">
        <v>244.28</v>
      </c>
      <c r="D64" s="5">
        <v>268.18</v>
      </c>
      <c r="E64" s="5">
        <v>340.82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38B7-D784-476F-8B2B-BDD5EB044496}">
  <dimension ref="A1:K33"/>
  <sheetViews>
    <sheetView workbookViewId="0"/>
  </sheetViews>
  <sheetFormatPr defaultRowHeight="15"/>
  <sheetData>
    <row r="1" spans="1:11">
      <c r="A1" s="44" t="s">
        <v>8</v>
      </c>
      <c r="B1" s="45" t="s">
        <v>23</v>
      </c>
      <c r="C1" s="45" t="s">
        <v>23</v>
      </c>
      <c r="D1" s="45" t="s">
        <v>23</v>
      </c>
      <c r="E1" s="45" t="s">
        <v>23</v>
      </c>
      <c r="F1" s="45" t="s">
        <v>23</v>
      </c>
      <c r="G1" s="45" t="s">
        <v>24</v>
      </c>
      <c r="H1" s="45" t="s">
        <v>24</v>
      </c>
      <c r="I1" s="45" t="s">
        <v>24</v>
      </c>
      <c r="J1" s="45" t="s">
        <v>24</v>
      </c>
      <c r="K1" s="45" t="s">
        <v>24</v>
      </c>
    </row>
    <row r="2" spans="1:11">
      <c r="A2" s="44"/>
      <c r="B2" s="46">
        <v>5000</v>
      </c>
      <c r="C2" s="46">
        <v>10000</v>
      </c>
      <c r="D2" s="46">
        <v>15000</v>
      </c>
      <c r="E2" s="46">
        <v>20000</v>
      </c>
      <c r="F2" s="46">
        <v>25000</v>
      </c>
      <c r="G2" s="46">
        <v>5000</v>
      </c>
      <c r="H2" s="46">
        <v>10000</v>
      </c>
      <c r="I2" s="46">
        <v>15000</v>
      </c>
      <c r="J2" s="46">
        <v>20000</v>
      </c>
      <c r="K2" s="46">
        <v>25000</v>
      </c>
    </row>
    <row r="3" spans="1:11">
      <c r="A3" s="47">
        <v>50</v>
      </c>
      <c r="B3" s="48">
        <v>31.43</v>
      </c>
      <c r="C3" s="48">
        <v>60.85</v>
      </c>
      <c r="D3" s="48">
        <v>90.27</v>
      </c>
      <c r="E3" s="48">
        <v>119.7</v>
      </c>
      <c r="F3" s="48">
        <v>149.12</v>
      </c>
      <c r="G3" s="48">
        <v>21.94</v>
      </c>
      <c r="H3" s="48">
        <v>41.88</v>
      </c>
      <c r="I3" s="48">
        <v>61.81</v>
      </c>
      <c r="J3" s="48">
        <v>86.79</v>
      </c>
      <c r="K3" s="48">
        <v>107.98</v>
      </c>
    </row>
    <row r="4" spans="1:11">
      <c r="A4" s="47">
        <v>51</v>
      </c>
      <c r="B4" s="48">
        <v>31.9</v>
      </c>
      <c r="C4" s="48">
        <v>61.79</v>
      </c>
      <c r="D4" s="48">
        <v>91.69</v>
      </c>
      <c r="E4" s="48">
        <v>121.58</v>
      </c>
      <c r="F4" s="48">
        <v>151.47999999999999</v>
      </c>
      <c r="G4" s="48">
        <v>22.44</v>
      </c>
      <c r="H4" s="48">
        <v>42.88</v>
      </c>
      <c r="I4" s="48">
        <v>63.31</v>
      </c>
      <c r="J4" s="48">
        <v>93.14</v>
      </c>
      <c r="K4" s="48">
        <v>115.93</v>
      </c>
    </row>
    <row r="5" spans="1:11">
      <c r="A5" s="47">
        <v>52</v>
      </c>
      <c r="B5" s="48">
        <v>32.43</v>
      </c>
      <c r="C5" s="48">
        <v>62.87</v>
      </c>
      <c r="D5" s="48">
        <v>93.3</v>
      </c>
      <c r="E5" s="48">
        <v>127.84</v>
      </c>
      <c r="F5" s="48">
        <v>159.29</v>
      </c>
      <c r="G5" s="48">
        <v>23.21</v>
      </c>
      <c r="H5" s="48">
        <v>44.42</v>
      </c>
      <c r="I5" s="48">
        <v>65.63</v>
      </c>
      <c r="J5" s="48">
        <v>98.58</v>
      </c>
      <c r="K5" s="48">
        <v>122.72</v>
      </c>
    </row>
    <row r="6" spans="1:11">
      <c r="A6" s="47">
        <v>53</v>
      </c>
      <c r="B6" s="48">
        <v>32.909999999999997</v>
      </c>
      <c r="C6" s="48">
        <v>63.81</v>
      </c>
      <c r="D6" s="48">
        <v>94.71</v>
      </c>
      <c r="E6" s="48">
        <v>135.13999999999999</v>
      </c>
      <c r="F6" s="48">
        <v>168.43</v>
      </c>
      <c r="G6" s="48">
        <v>24.36</v>
      </c>
      <c r="H6" s="48">
        <v>46.71</v>
      </c>
      <c r="I6" s="48">
        <v>69.069999999999993</v>
      </c>
      <c r="J6" s="48">
        <v>103.53</v>
      </c>
      <c r="K6" s="48">
        <v>128.91999999999999</v>
      </c>
    </row>
    <row r="7" spans="1:11">
      <c r="A7" s="47">
        <v>54</v>
      </c>
      <c r="B7" s="48">
        <v>33.450000000000003</v>
      </c>
      <c r="C7" s="48">
        <v>64.900000000000006</v>
      </c>
      <c r="D7" s="48">
        <v>96.35</v>
      </c>
      <c r="E7" s="48">
        <v>141.51</v>
      </c>
      <c r="F7" s="48">
        <v>176.39</v>
      </c>
      <c r="G7" s="48">
        <v>25.38</v>
      </c>
      <c r="H7" s="48">
        <v>48.76</v>
      </c>
      <c r="I7" s="48">
        <v>72.150000000000006</v>
      </c>
      <c r="J7" s="48">
        <v>108.02</v>
      </c>
      <c r="K7" s="48">
        <v>134.52000000000001</v>
      </c>
    </row>
    <row r="8" spans="1:11">
      <c r="A8" s="47">
        <v>55</v>
      </c>
      <c r="B8" s="48">
        <v>34.36</v>
      </c>
      <c r="C8" s="48">
        <v>66.72</v>
      </c>
      <c r="D8" s="48">
        <v>99.08</v>
      </c>
      <c r="E8" s="48">
        <v>147.18</v>
      </c>
      <c r="F8" s="48">
        <v>183.48</v>
      </c>
      <c r="G8" s="48">
        <v>26.3</v>
      </c>
      <c r="H8" s="48">
        <v>50.61</v>
      </c>
      <c r="I8" s="48">
        <v>74.91</v>
      </c>
      <c r="J8" s="48">
        <v>112.02</v>
      </c>
      <c r="K8" s="48">
        <v>139.53</v>
      </c>
    </row>
    <row r="9" spans="1:11">
      <c r="A9" s="47">
        <v>56</v>
      </c>
      <c r="B9" s="48">
        <v>35.33</v>
      </c>
      <c r="C9" s="48">
        <v>68.650000000000006</v>
      </c>
      <c r="D9" s="48">
        <v>101.98</v>
      </c>
      <c r="E9" s="48">
        <v>151.41999999999999</v>
      </c>
      <c r="F9" s="48">
        <v>188.78</v>
      </c>
      <c r="G9" s="48">
        <v>27.33</v>
      </c>
      <c r="H9" s="48">
        <v>52.67</v>
      </c>
      <c r="I9" s="48">
        <v>78</v>
      </c>
      <c r="J9" s="48">
        <v>116.51</v>
      </c>
      <c r="K9" s="48">
        <v>145.13999999999999</v>
      </c>
    </row>
    <row r="10" spans="1:11">
      <c r="A10" s="47">
        <v>57</v>
      </c>
      <c r="B10" s="48">
        <v>36.19</v>
      </c>
      <c r="C10" s="48">
        <v>70.37</v>
      </c>
      <c r="D10" s="48">
        <v>104.56</v>
      </c>
      <c r="E10" s="48">
        <v>155.19</v>
      </c>
      <c r="F10" s="48">
        <v>193.49</v>
      </c>
      <c r="G10" s="48">
        <v>28.13</v>
      </c>
      <c r="H10" s="48">
        <v>54.26</v>
      </c>
      <c r="I10" s="48">
        <v>80.39</v>
      </c>
      <c r="J10" s="48">
        <v>120.03</v>
      </c>
      <c r="K10" s="48">
        <v>149.54</v>
      </c>
    </row>
    <row r="11" spans="1:11">
      <c r="A11" s="47">
        <v>58</v>
      </c>
      <c r="B11" s="48">
        <v>36.950000000000003</v>
      </c>
      <c r="C11" s="48">
        <v>71.91</v>
      </c>
      <c r="D11" s="48">
        <v>106.86</v>
      </c>
      <c r="E11" s="48">
        <v>158.51</v>
      </c>
      <c r="F11" s="48">
        <v>197.64</v>
      </c>
      <c r="G11" s="48">
        <v>28.95</v>
      </c>
      <c r="H11" s="48">
        <v>55.89</v>
      </c>
      <c r="I11" s="48">
        <v>82.84</v>
      </c>
      <c r="J11" s="48">
        <v>123.6</v>
      </c>
      <c r="K11" s="48">
        <v>154</v>
      </c>
    </row>
    <row r="12" spans="1:11">
      <c r="A12" s="47">
        <v>59</v>
      </c>
      <c r="B12" s="48">
        <v>37.479999999999997</v>
      </c>
      <c r="C12" s="48">
        <v>72.97</v>
      </c>
      <c r="D12" s="48">
        <v>108.45</v>
      </c>
      <c r="E12" s="48">
        <v>160.86000000000001</v>
      </c>
      <c r="F12" s="48">
        <v>200.58</v>
      </c>
      <c r="G12" s="48">
        <v>29.7</v>
      </c>
      <c r="H12" s="48">
        <v>57.4</v>
      </c>
      <c r="I12" s="48">
        <v>85.09</v>
      </c>
      <c r="J12" s="48">
        <v>126.88</v>
      </c>
      <c r="K12" s="48">
        <v>158.11000000000001</v>
      </c>
    </row>
    <row r="13" spans="1:11">
      <c r="A13" s="47">
        <v>60</v>
      </c>
      <c r="B13" s="48">
        <v>38.049999999999997</v>
      </c>
      <c r="C13" s="48">
        <v>74.09</v>
      </c>
      <c r="D13" s="48">
        <v>110.14</v>
      </c>
      <c r="E13" s="48">
        <v>162.51</v>
      </c>
      <c r="F13" s="48">
        <v>202.64</v>
      </c>
      <c r="G13" s="48">
        <v>30.3</v>
      </c>
      <c r="H13" s="48">
        <v>58.61</v>
      </c>
      <c r="I13" s="48">
        <v>86.91</v>
      </c>
      <c r="J13" s="48">
        <v>129.49</v>
      </c>
      <c r="K13" s="48">
        <v>161.36000000000001</v>
      </c>
    </row>
    <row r="14" spans="1:11">
      <c r="A14" s="47">
        <v>61</v>
      </c>
      <c r="B14" s="48">
        <v>40.619999999999997</v>
      </c>
      <c r="C14" s="48">
        <v>79.25</v>
      </c>
      <c r="D14" s="48">
        <v>117.87</v>
      </c>
      <c r="E14" s="48">
        <v>174.54</v>
      </c>
      <c r="F14" s="48">
        <v>217.67</v>
      </c>
      <c r="G14" s="48">
        <v>32.08</v>
      </c>
      <c r="H14" s="48">
        <v>62.17</v>
      </c>
      <c r="I14" s="48">
        <v>92.25</v>
      </c>
      <c r="J14" s="48">
        <v>137.28</v>
      </c>
      <c r="K14" s="48">
        <v>171.1</v>
      </c>
    </row>
    <row r="15" spans="1:11">
      <c r="A15" s="47">
        <v>62</v>
      </c>
      <c r="B15" s="48">
        <v>43.22</v>
      </c>
      <c r="C15" s="48">
        <v>84.44</v>
      </c>
      <c r="D15" s="48">
        <v>125.66</v>
      </c>
      <c r="E15" s="48">
        <v>185.87</v>
      </c>
      <c r="F15" s="48">
        <v>231.83</v>
      </c>
      <c r="G15" s="48">
        <v>33.71</v>
      </c>
      <c r="H15" s="48">
        <v>65.42</v>
      </c>
      <c r="I15" s="48">
        <v>97.13</v>
      </c>
      <c r="J15" s="48">
        <v>144.35</v>
      </c>
      <c r="K15" s="48">
        <v>179.94</v>
      </c>
    </row>
    <row r="16" spans="1:11">
      <c r="A16" s="47">
        <v>63</v>
      </c>
      <c r="B16" s="48">
        <v>45.7</v>
      </c>
      <c r="C16" s="48">
        <v>89.4</v>
      </c>
      <c r="D16" s="48">
        <v>133.11000000000001</v>
      </c>
      <c r="E16" s="48">
        <v>196.72</v>
      </c>
      <c r="F16" s="48">
        <v>245.4</v>
      </c>
      <c r="G16" s="48">
        <v>35.119999999999997</v>
      </c>
      <c r="H16" s="48">
        <v>68.23</v>
      </c>
      <c r="I16" s="48">
        <v>101.34</v>
      </c>
      <c r="J16" s="48">
        <v>150.49</v>
      </c>
      <c r="K16" s="48">
        <v>187.61</v>
      </c>
    </row>
    <row r="17" spans="1:11">
      <c r="A17" s="47">
        <v>64</v>
      </c>
      <c r="B17" s="48">
        <v>48.09</v>
      </c>
      <c r="C17" s="48">
        <v>94.18</v>
      </c>
      <c r="D17" s="48">
        <v>140.27000000000001</v>
      </c>
      <c r="E17" s="48">
        <v>207.1</v>
      </c>
      <c r="F17" s="48">
        <v>258.37</v>
      </c>
      <c r="G17" s="48">
        <v>36.19</v>
      </c>
      <c r="H17" s="48">
        <v>70.37</v>
      </c>
      <c r="I17" s="48">
        <v>104.56</v>
      </c>
      <c r="J17" s="48">
        <v>155.19</v>
      </c>
      <c r="K17" s="48">
        <v>193.49</v>
      </c>
    </row>
    <row r="18" spans="1:11">
      <c r="A18" s="47">
        <v>65</v>
      </c>
      <c r="B18" s="48">
        <v>50.42</v>
      </c>
      <c r="C18" s="48">
        <v>98.83</v>
      </c>
      <c r="D18" s="48">
        <v>147.24</v>
      </c>
      <c r="E18" s="48">
        <v>217.26</v>
      </c>
      <c r="F18" s="48">
        <v>271.07</v>
      </c>
      <c r="G18" s="48">
        <v>37.11</v>
      </c>
      <c r="H18" s="48">
        <v>72.22</v>
      </c>
      <c r="I18" s="48">
        <v>107.32</v>
      </c>
      <c r="J18" s="48">
        <v>159.21</v>
      </c>
      <c r="K18" s="48">
        <v>198.51</v>
      </c>
    </row>
    <row r="19" spans="1:11">
      <c r="A19" s="47">
        <v>66</v>
      </c>
      <c r="B19" s="48">
        <v>52.47</v>
      </c>
      <c r="C19" s="48">
        <v>102.93</v>
      </c>
      <c r="D19" s="48">
        <v>153.4</v>
      </c>
      <c r="E19" s="48">
        <v>226.21</v>
      </c>
      <c r="F19" s="48">
        <v>282.27</v>
      </c>
      <c r="G19" s="48">
        <v>39.01</v>
      </c>
      <c r="H19" s="48">
        <v>76.010000000000005</v>
      </c>
      <c r="I19" s="48">
        <v>113.02</v>
      </c>
      <c r="J19" s="48">
        <v>167.45</v>
      </c>
      <c r="K19" s="48">
        <v>208.81</v>
      </c>
    </row>
    <row r="20" spans="1:11">
      <c r="A20" s="47">
        <v>67</v>
      </c>
      <c r="B20" s="48">
        <v>54.25</v>
      </c>
      <c r="C20" s="48">
        <v>106.5</v>
      </c>
      <c r="D20" s="48">
        <v>158.75</v>
      </c>
      <c r="E20" s="48">
        <v>233.99</v>
      </c>
      <c r="F20" s="48">
        <v>291.98</v>
      </c>
      <c r="G20" s="48">
        <v>40.57</v>
      </c>
      <c r="H20" s="48">
        <v>79.150000000000006</v>
      </c>
      <c r="I20" s="48">
        <v>117.72</v>
      </c>
      <c r="J20" s="48">
        <v>174.31</v>
      </c>
      <c r="K20" s="48">
        <v>217.38</v>
      </c>
    </row>
    <row r="21" spans="1:11">
      <c r="A21" s="47">
        <v>68</v>
      </c>
      <c r="B21" s="48">
        <v>55.92</v>
      </c>
      <c r="C21" s="48">
        <v>109.84</v>
      </c>
      <c r="D21" s="48">
        <v>163.76</v>
      </c>
      <c r="E21" s="48">
        <v>241.31</v>
      </c>
      <c r="F21" s="48">
        <v>301.14</v>
      </c>
      <c r="G21" s="48">
        <v>42.03</v>
      </c>
      <c r="H21" s="48">
        <v>82.06</v>
      </c>
      <c r="I21" s="48">
        <v>122.09</v>
      </c>
      <c r="J21" s="48">
        <v>180.66</v>
      </c>
      <c r="K21" s="48">
        <v>225.33</v>
      </c>
    </row>
    <row r="22" spans="1:11">
      <c r="A22" s="47">
        <v>69</v>
      </c>
      <c r="B22" s="48">
        <v>57.39</v>
      </c>
      <c r="C22" s="48">
        <v>112.77</v>
      </c>
      <c r="D22" s="48">
        <v>168.16</v>
      </c>
      <c r="E22" s="48">
        <v>247.66</v>
      </c>
      <c r="F22" s="48">
        <v>309.08</v>
      </c>
      <c r="G22" s="48">
        <v>43.44</v>
      </c>
      <c r="H22" s="48">
        <v>84.88</v>
      </c>
      <c r="I22" s="48">
        <v>126.33</v>
      </c>
      <c r="J22" s="48">
        <v>186.82</v>
      </c>
      <c r="K22" s="48">
        <v>233.02</v>
      </c>
    </row>
    <row r="23" spans="1:11">
      <c r="A23" s="47">
        <v>70</v>
      </c>
      <c r="B23" s="48">
        <v>58.68</v>
      </c>
      <c r="C23" s="48">
        <v>115.36</v>
      </c>
      <c r="D23" s="48">
        <v>172.04</v>
      </c>
      <c r="E23" s="48">
        <v>253.35</v>
      </c>
      <c r="F23" s="48">
        <v>316.19</v>
      </c>
      <c r="G23" s="48">
        <v>44.74</v>
      </c>
      <c r="H23" s="48">
        <v>87.47</v>
      </c>
      <c r="I23" s="48">
        <v>130.19999999999999</v>
      </c>
      <c r="J23" s="48">
        <v>192.47</v>
      </c>
      <c r="K23" s="48">
        <v>240.09</v>
      </c>
    </row>
    <row r="24" spans="1:11">
      <c r="A24" s="47">
        <v>71</v>
      </c>
      <c r="B24" s="48">
        <v>63.98</v>
      </c>
      <c r="C24" s="48">
        <v>125.96</v>
      </c>
      <c r="D24" s="48">
        <v>187.94</v>
      </c>
      <c r="E24" s="48">
        <v>276.47000000000003</v>
      </c>
      <c r="F24" s="48">
        <v>345.09</v>
      </c>
      <c r="G24" s="48">
        <v>49.06</v>
      </c>
      <c r="H24" s="48">
        <v>96.12</v>
      </c>
      <c r="I24" s="48">
        <v>143.18</v>
      </c>
      <c r="J24" s="48">
        <v>211.34</v>
      </c>
      <c r="K24" s="48">
        <v>263.67</v>
      </c>
    </row>
    <row r="25" spans="1:11">
      <c r="A25" s="47">
        <v>72</v>
      </c>
      <c r="B25" s="48">
        <v>69.17</v>
      </c>
      <c r="C25" s="48">
        <v>136.34</v>
      </c>
      <c r="D25" s="48">
        <v>203.51</v>
      </c>
      <c r="E25" s="48">
        <v>299.12</v>
      </c>
      <c r="F25" s="48">
        <v>373.4</v>
      </c>
      <c r="G25" s="48">
        <v>53.17</v>
      </c>
      <c r="H25" s="48">
        <v>104.34</v>
      </c>
      <c r="I25" s="48">
        <v>155.51</v>
      </c>
      <c r="J25" s="48">
        <v>229.28</v>
      </c>
      <c r="K25" s="48">
        <v>286.10000000000002</v>
      </c>
    </row>
    <row r="26" spans="1:11">
      <c r="A26" s="47">
        <v>73</v>
      </c>
      <c r="B26" s="48">
        <v>74.040000000000006</v>
      </c>
      <c r="C26" s="48">
        <v>146.08000000000001</v>
      </c>
      <c r="D26" s="48">
        <v>218.11</v>
      </c>
      <c r="E26" s="48">
        <v>320.36</v>
      </c>
      <c r="F26" s="48">
        <v>399.94</v>
      </c>
      <c r="G26" s="48">
        <v>57.11</v>
      </c>
      <c r="H26" s="48">
        <v>112.22</v>
      </c>
      <c r="I26" s="48">
        <v>167.33</v>
      </c>
      <c r="J26" s="48">
        <v>246.5</v>
      </c>
      <c r="K26" s="48">
        <v>307.62</v>
      </c>
    </row>
    <row r="27" spans="1:11">
      <c r="A27" s="47">
        <v>74</v>
      </c>
      <c r="B27" s="48">
        <v>78.58</v>
      </c>
      <c r="C27" s="48">
        <v>155.16999999999999</v>
      </c>
      <c r="D27" s="48">
        <v>231.75</v>
      </c>
      <c r="E27" s="48">
        <v>340.17</v>
      </c>
      <c r="F27" s="48">
        <v>424.71</v>
      </c>
      <c r="G27" s="48">
        <v>60.74</v>
      </c>
      <c r="H27" s="48">
        <v>119.48</v>
      </c>
      <c r="I27" s="48">
        <v>178.22</v>
      </c>
      <c r="J27" s="48">
        <v>262.31</v>
      </c>
      <c r="K27" s="48">
        <v>327.39</v>
      </c>
    </row>
    <row r="28" spans="1:11">
      <c r="A28" s="47">
        <v>75</v>
      </c>
      <c r="B28" s="48">
        <v>82.47</v>
      </c>
      <c r="C28" s="48">
        <v>162.94999999999999</v>
      </c>
      <c r="D28" s="48">
        <v>243.42</v>
      </c>
      <c r="E28" s="48">
        <v>357.15</v>
      </c>
      <c r="F28" s="48">
        <v>445.94</v>
      </c>
      <c r="G28" s="48">
        <v>63.98</v>
      </c>
      <c r="H28" s="48">
        <v>125.96</v>
      </c>
      <c r="I28" s="48">
        <v>187.94</v>
      </c>
      <c r="J28" s="48">
        <v>276.47000000000003</v>
      </c>
      <c r="K28" s="48">
        <v>345.09</v>
      </c>
    </row>
    <row r="29" spans="1:11">
      <c r="A29" s="47">
        <v>76</v>
      </c>
      <c r="B29" s="48">
        <v>96.25</v>
      </c>
      <c r="C29" s="48">
        <v>190.5</v>
      </c>
      <c r="D29" s="48">
        <v>284.75</v>
      </c>
      <c r="E29" s="48">
        <v>417.32</v>
      </c>
      <c r="F29" s="48">
        <v>521.15</v>
      </c>
      <c r="G29" s="48">
        <v>73.17</v>
      </c>
      <c r="H29" s="48">
        <v>144.33000000000001</v>
      </c>
      <c r="I29" s="48">
        <v>215.5</v>
      </c>
      <c r="J29" s="48">
        <v>316.57</v>
      </c>
      <c r="K29" s="48">
        <v>395.21</v>
      </c>
    </row>
    <row r="30" spans="1:11">
      <c r="A30" s="47">
        <v>77</v>
      </c>
      <c r="B30" s="48">
        <v>109.5</v>
      </c>
      <c r="C30" s="48">
        <v>217.01</v>
      </c>
      <c r="D30" s="48">
        <v>324.51</v>
      </c>
      <c r="E30" s="48">
        <v>451.53</v>
      </c>
      <c r="F30" s="48">
        <v>563.91</v>
      </c>
      <c r="G30" s="48">
        <v>81.83</v>
      </c>
      <c r="H30" s="48">
        <v>161.66</v>
      </c>
      <c r="I30" s="48">
        <v>241.49</v>
      </c>
      <c r="J30" s="48">
        <v>354.32</v>
      </c>
      <c r="K30" s="48">
        <v>442.4</v>
      </c>
    </row>
    <row r="31" spans="1:11">
      <c r="A31" s="47">
        <v>78</v>
      </c>
      <c r="B31" s="48">
        <v>112.9</v>
      </c>
      <c r="C31" s="48">
        <v>223.8</v>
      </c>
      <c r="D31" s="48">
        <v>334.71</v>
      </c>
      <c r="E31" s="48">
        <v>451.99</v>
      </c>
      <c r="F31" s="48">
        <v>564.49</v>
      </c>
      <c r="G31" s="48">
        <v>89.93</v>
      </c>
      <c r="H31" s="48">
        <v>177.87</v>
      </c>
      <c r="I31" s="48">
        <v>265.8</v>
      </c>
      <c r="J31" s="48">
        <v>389.71</v>
      </c>
      <c r="K31" s="48">
        <v>486.64</v>
      </c>
    </row>
    <row r="32" spans="1:11">
      <c r="A32" s="47">
        <v>79</v>
      </c>
      <c r="B32" s="48">
        <v>113.13</v>
      </c>
      <c r="C32" s="48">
        <v>224.25</v>
      </c>
      <c r="D32" s="48">
        <v>335.38</v>
      </c>
      <c r="E32" s="48">
        <v>452.45</v>
      </c>
      <c r="F32" s="48">
        <v>565.05999999999995</v>
      </c>
      <c r="G32" s="48">
        <v>97.5</v>
      </c>
      <c r="H32" s="48">
        <v>193</v>
      </c>
      <c r="I32" s="48">
        <v>288.51</v>
      </c>
      <c r="J32" s="48">
        <v>422.74</v>
      </c>
      <c r="K32" s="48">
        <v>527.91999999999996</v>
      </c>
    </row>
    <row r="33" spans="1:11">
      <c r="A33" s="47">
        <v>80</v>
      </c>
      <c r="B33" s="48">
        <v>113.36</v>
      </c>
      <c r="C33" s="48">
        <v>224.71</v>
      </c>
      <c r="D33" s="48">
        <v>336.07</v>
      </c>
      <c r="E33" s="48">
        <v>452.9</v>
      </c>
      <c r="F33" s="48">
        <v>565.62</v>
      </c>
      <c r="G33" s="48">
        <v>104.21</v>
      </c>
      <c r="H33" s="48">
        <v>206.42</v>
      </c>
      <c r="I33" s="48">
        <v>308.62</v>
      </c>
      <c r="J33" s="48">
        <v>447.41</v>
      </c>
      <c r="K33" s="48">
        <v>558.76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2025-12-09T01:59:38Z</dcterms:created>
  <dcterms:modified xsi:type="dcterms:W3CDTF">2025-12-09T14:55:17Z</dcterms:modified>
  <cp:category/>
  <cp:contentStatus/>
</cp:coreProperties>
</file>