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xr:revisionPtr revIDLastSave="0" documentId="8_{9AD2FDA2-3D20-41F2-A60F-6FE1A5FF7329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Key" sheetId="2" r:id="rId1"/>
    <sheet name="aflac" sheetId="1" r:id="rId2"/>
    <sheet name="aflac-modified" sheetId="12" r:id="rId3"/>
    <sheet name="SBLI" sheetId="4" r:id="rId4"/>
    <sheet name="SBLI-Modified" sheetId="13" r:id="rId5"/>
    <sheet name="CICA" sheetId="5" r:id="rId6"/>
    <sheet name="CICA-GI" sheetId="14" r:id="rId7"/>
    <sheet name="gtl" sheetId="3" r:id="rId8"/>
    <sheet name="TransAmerica" sheetId="6" r:id="rId9"/>
    <sheet name="TransAmerica Graded" sheetId="7" r:id="rId10"/>
    <sheet name="Corebridge" sheetId="8" r:id="rId11"/>
    <sheet name="amam" sheetId="9" r:id="rId12"/>
    <sheet name="amam-graded" sheetId="10" r:id="rId13"/>
    <sheet name="amam-return-or-premium" sheetId="11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1" l="1"/>
  <c r="K40" i="1"/>
  <c r="J31" i="1"/>
  <c r="J30" i="1"/>
  <c r="J15" i="1"/>
  <c r="J26" i="1"/>
  <c r="J24" i="1"/>
  <c r="J22" i="1"/>
  <c r="J20" i="1"/>
  <c r="J9" i="1"/>
  <c r="J10" i="1"/>
  <c r="J12" i="1"/>
  <c r="J13" i="1"/>
  <c r="J11" i="1"/>
  <c r="H30" i="4"/>
  <c r="H29" i="4"/>
  <c r="H28" i="4"/>
  <c r="H27" i="4"/>
  <c r="H26" i="4"/>
</calcChain>
</file>

<file path=xl/sharedStrings.xml><?xml version="1.0" encoding="utf-8"?>
<sst xmlns="http://schemas.openxmlformats.org/spreadsheetml/2006/main" count="115" uniqueCount="38">
  <si>
    <t>carrier</t>
  </si>
  <si>
    <t>Aflac</t>
  </si>
  <si>
    <t>GTL</t>
  </si>
  <si>
    <t>CICA</t>
  </si>
  <si>
    <t>SBLI</t>
  </si>
  <si>
    <t>TransAmerica</t>
  </si>
  <si>
    <t>amam</t>
  </si>
  <si>
    <t>fee</t>
  </si>
  <si>
    <t>monthly_factor</t>
  </si>
  <si>
    <t>73 Male Non-Smoker</t>
  </si>
  <si>
    <t>Monthly Premium</t>
  </si>
  <si>
    <t>sbli</t>
  </si>
  <si>
    <t>sbli-mod</t>
  </si>
  <si>
    <t>aflac</t>
  </si>
  <si>
    <t>aflace mod</t>
  </si>
  <si>
    <t>cica</t>
  </si>
  <si>
    <t>cica gi</t>
  </si>
  <si>
    <t>trans</t>
  </si>
  <si>
    <t>trans mod</t>
  </si>
  <si>
    <t>gtl</t>
  </si>
  <si>
    <t>corebridge</t>
  </si>
  <si>
    <t>amam-grad</t>
  </si>
  <si>
    <t>amam-rop</t>
  </si>
  <si>
    <t>Age</t>
  </si>
  <si>
    <t>Male Non-Smoker</t>
  </si>
  <si>
    <t>Male Smoker</t>
  </si>
  <si>
    <t>Female Non-Smoker</t>
  </si>
  <si>
    <t>Female Smoker</t>
  </si>
  <si>
    <t>73 male</t>
  </si>
  <si>
    <t>Male</t>
  </si>
  <si>
    <t>Female</t>
  </si>
  <si>
    <t>Male Non-Smoker</t>
  </si>
  <si>
    <t>Male Smoker</t>
  </si>
  <si>
    <t>Female Non-Smoker</t>
  </si>
  <si>
    <t>Female Smoker</t>
  </si>
  <si>
    <t xml:space="preserve">Male </t>
  </si>
  <si>
    <t xml:space="preserve"> 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</si>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</sst>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"/>
    <numFmt numFmtId="165" formatCode="&quot;$&quot;#,##0.00"/>
    <numFmt numFmtId="166" formatCode="[$$-809]#,##0"/>
  </numFmts>
  <fonts count="20">
    <font>
      <sz val="11"/>
      <color theme="1"/>
      <name val="Aptos Narrow"/>
      <family val="2"/>
      <scheme val="minor"/>
    </font>
    <font>
      <b/>
      <sz val="9"/>
      <color rgb="FF000000"/>
      <name val="Calibri"/>
      <scheme val="minor"/>
    </font>
    <font>
      <sz val="9"/>
      <color rgb="FF000000"/>
      <name val="Calibri"/>
      <scheme val="minor"/>
    </font>
    <font>
      <sz val="9"/>
      <color theme="1"/>
      <name val="Calibri"/>
    </font>
    <font>
      <sz val="9"/>
      <color theme="1"/>
      <name val="Aptos Narrow"/>
      <family val="2"/>
      <scheme val="minor"/>
    </font>
    <font>
      <sz val="11"/>
      <color theme="1"/>
      <name val="Calibri"/>
    </font>
    <font>
      <b/>
      <sz val="9"/>
      <color theme="1"/>
      <name val="Calibri"/>
    </font>
    <font>
      <b/>
      <sz val="11"/>
      <color theme="1"/>
      <name val="Calibri"/>
    </font>
    <font>
      <b/>
      <sz val="8"/>
      <color theme="1"/>
      <name val="Calibri"/>
    </font>
    <font>
      <b/>
      <sz val="9"/>
      <name val="Calibri"/>
      <scheme val="minor"/>
    </font>
    <font>
      <sz val="9"/>
      <name val="Calibri"/>
      <scheme val="minor"/>
    </font>
    <font>
      <sz val="9"/>
      <color rgb="FF41345B"/>
      <name val="Calibri"/>
      <scheme val="minor"/>
    </font>
    <font>
      <b/>
      <sz val="9.6"/>
      <color theme="1"/>
      <name val="FkGroteskNeue"/>
      <charset val="1"/>
    </font>
    <font>
      <sz val="9.6"/>
      <color theme="1"/>
      <name val="FkGroteskNeue"/>
      <charset val="1"/>
    </font>
    <font>
      <sz val="9.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334155"/>
      <name val="Inherit"/>
      <charset val="1"/>
    </font>
    <font>
      <b/>
      <sz val="12"/>
      <color rgb="FF16A34A"/>
      <name val="Inherit"/>
      <charset val="1"/>
    </font>
    <font>
      <b/>
      <sz val="12"/>
      <color rgb="FF1D4ED8"/>
      <name val="Inherit"/>
      <charset val="1"/>
    </font>
    <font>
      <b/>
      <sz val="12"/>
      <color rgb="FF2563EB"/>
      <name val="Inherit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/>
    <xf numFmtId="1" fontId="2" fillId="0" borderId="7" xfId="0" applyNumberFormat="1" applyFont="1" applyBorder="1" applyAlignment="1">
      <alignment horizontal="center" vertical="top" indent="1" shrinkToFit="1"/>
    </xf>
    <xf numFmtId="1" fontId="2" fillId="0" borderId="8" xfId="0" applyNumberFormat="1" applyFont="1" applyBorder="1" applyAlignment="1">
      <alignment horizontal="center" vertical="top" indent="1" shrinkToFit="1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165" fontId="2" fillId="0" borderId="6" xfId="0" applyNumberFormat="1" applyFont="1" applyBorder="1" applyAlignment="1">
      <alignment horizontal="right" vertical="top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6" fillId="0" borderId="1" xfId="0" applyFont="1" applyBorder="1"/>
    <xf numFmtId="0" fontId="6" fillId="0" borderId="5" xfId="0" applyFont="1" applyBorder="1"/>
    <xf numFmtId="0" fontId="6" fillId="0" borderId="6" xfId="0" applyFont="1" applyBorder="1"/>
    <xf numFmtId="0" fontId="3" fillId="0" borderId="0" xfId="0" applyFont="1" applyBorder="1"/>
    <xf numFmtId="0" fontId="3" fillId="0" borderId="3" xfId="0" applyFont="1" applyBorder="1"/>
    <xf numFmtId="8" fontId="3" fillId="0" borderId="4" xfId="0" applyNumberFormat="1" applyFont="1" applyBorder="1"/>
    <xf numFmtId="0" fontId="3" fillId="0" borderId="4" xfId="0" applyFont="1" applyBorder="1"/>
    <xf numFmtId="0" fontId="7" fillId="0" borderId="0" xfId="0" applyFont="1"/>
    <xf numFmtId="0" fontId="6" fillId="0" borderId="0" xfId="0" applyFont="1"/>
    <xf numFmtId="0" fontId="3" fillId="0" borderId="1" xfId="0" applyFont="1" applyBorder="1" applyAlignment="1">
      <alignment wrapText="1"/>
    </xf>
    <xf numFmtId="8" fontId="3" fillId="0" borderId="2" xfId="0" applyNumberFormat="1" applyFont="1" applyBorder="1" applyAlignment="1">
      <alignment wrapText="1"/>
    </xf>
    <xf numFmtId="0" fontId="3" fillId="0" borderId="3" xfId="0" applyFont="1" applyBorder="1" applyAlignment="1">
      <alignment wrapText="1"/>
    </xf>
    <xf numFmtId="8" fontId="3" fillId="0" borderId="4" xfId="0" applyNumberFormat="1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6" fillId="0" borderId="0" xfId="0" applyFont="1" applyBorder="1"/>
    <xf numFmtId="0" fontId="6" fillId="0" borderId="1" xfId="0" applyFont="1" applyBorder="1" applyAlignment="1"/>
    <xf numFmtId="0" fontId="6" fillId="0" borderId="2" xfId="0" applyFont="1" applyBorder="1" applyAlignment="1"/>
    <xf numFmtId="0" fontId="3" fillId="0" borderId="0" xfId="0" applyFont="1" applyBorder="1" applyAlignment="1">
      <alignment wrapText="1"/>
    </xf>
    <xf numFmtId="8" fontId="3" fillId="0" borderId="0" xfId="0" applyNumberFormat="1" applyFont="1" applyBorder="1" applyAlignment="1">
      <alignment wrapText="1"/>
    </xf>
    <xf numFmtId="0" fontId="6" fillId="0" borderId="2" xfId="0" applyFont="1" applyBorder="1"/>
    <xf numFmtId="0" fontId="8" fillId="0" borderId="0" xfId="0" applyFont="1" applyBorder="1" applyAlignment="1">
      <alignment horizontal="right"/>
    </xf>
    <xf numFmtId="164" fontId="5" fillId="0" borderId="0" xfId="0" applyNumberFormat="1" applyFont="1"/>
    <xf numFmtId="0" fontId="9" fillId="0" borderId="6" xfId="0" applyFont="1" applyBorder="1"/>
    <xf numFmtId="0" fontId="1" fillId="0" borderId="6" xfId="0" applyFont="1" applyBorder="1" applyAlignment="1">
      <alignment horizontal="left"/>
    </xf>
    <xf numFmtId="0" fontId="1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vertical="top" wrapText="1"/>
    </xf>
    <xf numFmtId="1" fontId="2" fillId="0" borderId="6" xfId="0" applyNumberFormat="1" applyFont="1" applyBorder="1" applyAlignment="1">
      <alignment horizontal="center" vertical="top" indent="1" shrinkToFit="1"/>
    </xf>
    <xf numFmtId="0" fontId="9" fillId="0" borderId="0" xfId="0" applyFont="1" applyAlignment="1">
      <alignment horizontal="center"/>
    </xf>
    <xf numFmtId="0" fontId="9" fillId="0" borderId="0" xfId="0" applyFont="1"/>
    <xf numFmtId="166" fontId="10" fillId="0" borderId="0" xfId="0" applyNumberFormat="1" applyFont="1"/>
    <xf numFmtId="1" fontId="11" fillId="0" borderId="0" xfId="0" applyNumberFormat="1" applyFont="1" applyAlignment="1">
      <alignment horizontal="center"/>
    </xf>
    <xf numFmtId="2" fontId="11" fillId="0" borderId="0" xfId="0" applyNumberFormat="1" applyFont="1"/>
    <xf numFmtId="0" fontId="12" fillId="0" borderId="1" xfId="0" applyFont="1" applyBorder="1"/>
    <xf numFmtId="0" fontId="13" fillId="0" borderId="3" xfId="0" applyFont="1" applyBorder="1"/>
    <xf numFmtId="8" fontId="13" fillId="0" borderId="4" xfId="0" applyNumberFormat="1" applyFont="1" applyBorder="1"/>
    <xf numFmtId="0" fontId="14" fillId="0" borderId="1" xfId="0" applyFont="1" applyBorder="1"/>
    <xf numFmtId="8" fontId="14" fillId="0" borderId="2" xfId="0" applyNumberFormat="1" applyFont="1" applyBorder="1"/>
    <xf numFmtId="0" fontId="14" fillId="0" borderId="3" xfId="0" applyFont="1" applyBorder="1"/>
    <xf numFmtId="8" fontId="14" fillId="0" borderId="4" xfId="0" applyNumberFormat="1" applyFont="1" applyBorder="1"/>
    <xf numFmtId="0" fontId="12" fillId="0" borderId="1" xfId="0" applyFont="1" applyBorder="1" applyAlignment="1"/>
    <xf numFmtId="0" fontId="0" fillId="0" borderId="0" xfId="0" applyAlignment="1"/>
    <xf numFmtId="8" fontId="13" fillId="0" borderId="2" xfId="0" applyNumberFormat="1" applyFont="1" applyBorder="1" applyAlignment="1"/>
    <xf numFmtId="8" fontId="13" fillId="0" borderId="4" xfId="0" applyNumberFormat="1" applyFont="1" applyBorder="1" applyAlignme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8" fontId="3" fillId="0" borderId="4" xfId="0" applyNumberFormat="1" applyFont="1" applyBorder="1" applyAlignment="1"/>
    <xf numFmtId="0" fontId="13" fillId="0" borderId="1" xfId="0" applyFont="1" applyBorder="1" applyAlignment="1"/>
    <xf numFmtId="0" fontId="13" fillId="0" borderId="3" xfId="0" applyFont="1" applyBorder="1" applyAlignment="1"/>
    <xf numFmtId="0" fontId="15" fillId="0" borderId="0" xfId="0" applyFont="1" applyAlignment="1">
      <alignment horizontal="center"/>
    </xf>
    <xf numFmtId="0" fontId="13" fillId="0" borderId="2" xfId="0" applyFont="1" applyBorder="1" applyAlignment="1"/>
    <xf numFmtId="0" fontId="13" fillId="0" borderId="4" xfId="0" applyFont="1" applyBorder="1" applyAlignment="1"/>
    <xf numFmtId="0" fontId="3" fillId="0" borderId="3" xfId="0" applyFont="1" applyBorder="1" applyAlignment="1">
      <alignment horizontal="center"/>
    </xf>
    <xf numFmtId="165" fontId="3" fillId="0" borderId="0" xfId="0" applyNumberFormat="1" applyFont="1"/>
    <xf numFmtId="0" fontId="3" fillId="0" borderId="0" xfId="0" applyFont="1" applyAlignment="1">
      <alignment wrapText="1"/>
    </xf>
    <xf numFmtId="0" fontId="16" fillId="0" borderId="0" xfId="0" applyFont="1" applyAlignment="1">
      <alignment wrapText="1"/>
    </xf>
    <xf numFmtId="8" fontId="17" fillId="0" borderId="0" xfId="0" applyNumberFormat="1" applyFont="1" applyAlignment="1">
      <alignment wrapText="1"/>
    </xf>
    <xf numFmtId="0" fontId="18" fillId="0" borderId="0" xfId="0" applyFont="1" applyAlignment="1">
      <alignment wrapText="1"/>
    </xf>
    <xf numFmtId="8" fontId="19" fillId="0" borderId="0" xfId="0" applyNumberFormat="1" applyFont="1" applyAlignment="1">
      <alignment wrapText="1"/>
    </xf>
    <xf numFmtId="0" fontId="14" fillId="0" borderId="2" xfId="0" applyFont="1" applyBorder="1"/>
    <xf numFmtId="0" fontId="14" fillId="0" borderId="4" xfId="0" applyFont="1" applyBorder="1"/>
    <xf numFmtId="165" fontId="3" fillId="0" borderId="6" xfId="0" applyNumberFormat="1" applyFont="1" applyBorder="1"/>
    <xf numFmtId="0" fontId="6" fillId="0" borderId="9" xfId="0" applyFont="1" applyBorder="1"/>
    <xf numFmtId="165" fontId="3" fillId="0" borderId="9" xfId="0" applyNumberFormat="1" applyFont="1" applyBorder="1"/>
    <xf numFmtId="0" fontId="6" fillId="0" borderId="0" xfId="0" applyFont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E4FA-D071-4093-B991-6331C1E01FBA}">
  <dimension ref="A1:G31"/>
  <sheetViews>
    <sheetView tabSelected="1" workbookViewId="0">
      <selection activeCell="E11" sqref="E11"/>
    </sheetView>
  </sheetViews>
  <sheetFormatPr defaultRowHeight="12.75" customHeight="1"/>
  <cols>
    <col min="1" max="1" width="19.5703125" style="17" customWidth="1"/>
    <col min="2" max="2" width="19.7109375" style="7" customWidth="1"/>
    <col min="3" max="3" width="15.28515625" style="7" customWidth="1"/>
    <col min="4" max="4" width="13.140625" style="7" customWidth="1"/>
    <col min="5" max="5" width="13.5703125" style="7" customWidth="1"/>
    <col min="6" max="6" width="13.140625" style="7" bestFit="1" customWidth="1"/>
    <col min="7" max="16384" width="9.140625" style="7"/>
  </cols>
  <sheetData>
    <row r="1" spans="1:7" s="17" customFormat="1" ht="12.75" customHeight="1">
      <c r="A1" s="31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</row>
    <row r="2" spans="1:7" ht="12.75" customHeight="1">
      <c r="A2" s="17" t="s">
        <v>7</v>
      </c>
      <c r="B2" s="32">
        <v>48</v>
      </c>
      <c r="C2" s="32">
        <v>48</v>
      </c>
      <c r="D2" s="7">
        <v>0</v>
      </c>
      <c r="E2" s="32">
        <v>48</v>
      </c>
      <c r="F2" s="32">
        <v>48</v>
      </c>
      <c r="G2" s="32">
        <v>30</v>
      </c>
    </row>
    <row r="3" spans="1:7" ht="12.75" customHeight="1">
      <c r="A3" s="17" t="s">
        <v>8</v>
      </c>
      <c r="B3" s="7">
        <v>8.7499999999999994E-2</v>
      </c>
      <c r="C3" s="7">
        <v>8.3330000000000001E-2</v>
      </c>
      <c r="D3" s="7">
        <v>1</v>
      </c>
      <c r="E3" s="7">
        <v>8.6999999999999994E-2</v>
      </c>
      <c r="F3" s="7">
        <v>8.7499999999999994E-2</v>
      </c>
      <c r="G3" s="7">
        <v>8.7999999999999995E-2</v>
      </c>
    </row>
    <row r="7" spans="1:7" s="9" customFormat="1" ht="12.75" customHeight="1">
      <c r="A7" s="74"/>
      <c r="B7" s="75" t="s">
        <v>9</v>
      </c>
      <c r="C7" s="76" t="s">
        <v>10</v>
      </c>
    </row>
    <row r="8" spans="1:7" ht="12.75" customHeight="1">
      <c r="A8" s="8"/>
      <c r="B8" s="72" t="s">
        <v>11</v>
      </c>
      <c r="C8" s="73">
        <v>59.83029166666666</v>
      </c>
    </row>
    <row r="9" spans="1:7" ht="12.75" customHeight="1">
      <c r="A9" s="8"/>
      <c r="B9" s="12" t="s">
        <v>12</v>
      </c>
      <c r="C9" s="71">
        <v>84.876583333333329</v>
      </c>
      <c r="D9" s="8"/>
      <c r="E9" s="63"/>
      <c r="F9" s="8"/>
      <c r="G9" s="8"/>
    </row>
    <row r="10" spans="1:7" ht="12.75" customHeight="1">
      <c r="B10" s="12" t="s">
        <v>13</v>
      </c>
      <c r="C10" s="71">
        <v>48.029333333333341</v>
      </c>
      <c r="D10" s="8"/>
      <c r="E10" s="63"/>
      <c r="F10" s="8"/>
      <c r="G10" s="8"/>
    </row>
    <row r="11" spans="1:7" ht="12.75" customHeight="1">
      <c r="B11" s="12" t="s">
        <v>14</v>
      </c>
      <c r="C11" s="71">
        <v>67.54346249999999</v>
      </c>
      <c r="D11" s="8"/>
      <c r="E11" s="63"/>
      <c r="F11" s="8"/>
      <c r="G11" s="8"/>
    </row>
    <row r="12" spans="1:7" ht="12.75" customHeight="1">
      <c r="B12" s="12" t="s">
        <v>15</v>
      </c>
      <c r="C12" s="71">
        <v>70.550829166666659</v>
      </c>
      <c r="D12" s="8"/>
      <c r="E12" s="63"/>
      <c r="F12" s="8"/>
      <c r="G12" s="8"/>
    </row>
    <row r="13" spans="1:7" ht="12.75" customHeight="1">
      <c r="B13" s="12" t="s">
        <v>16</v>
      </c>
      <c r="C13" s="71">
        <v>102.27311249999998</v>
      </c>
      <c r="D13" s="8"/>
      <c r="E13" s="63"/>
      <c r="F13" s="8"/>
      <c r="G13" s="8"/>
    </row>
    <row r="14" spans="1:7" ht="12.75" customHeight="1">
      <c r="B14" s="12" t="s">
        <v>17</v>
      </c>
      <c r="C14" s="71">
        <v>57.15265625</v>
      </c>
      <c r="D14" s="8"/>
      <c r="E14" s="63"/>
      <c r="F14" s="8"/>
      <c r="G14" s="8"/>
    </row>
    <row r="15" spans="1:7" ht="12.75" customHeight="1">
      <c r="B15" s="12" t="s">
        <v>18</v>
      </c>
      <c r="C15" s="71">
        <v>66.112245833333333</v>
      </c>
      <c r="D15" s="8"/>
      <c r="E15" s="63"/>
      <c r="F15" s="8"/>
      <c r="G15" s="8"/>
    </row>
    <row r="16" spans="1:7" ht="12.75" customHeight="1">
      <c r="B16" s="12" t="s">
        <v>19</v>
      </c>
      <c r="C16" s="71">
        <v>72.944220000000001</v>
      </c>
      <c r="D16" s="8"/>
      <c r="E16" s="8"/>
      <c r="F16" s="8"/>
      <c r="G16" s="8"/>
    </row>
    <row r="17" spans="2:7" ht="12.75" customHeight="1">
      <c r="B17" s="12" t="s">
        <v>20</v>
      </c>
      <c r="C17" s="71">
        <v>74.040000000000006</v>
      </c>
      <c r="D17" s="8"/>
      <c r="E17" s="8"/>
      <c r="F17" s="8"/>
      <c r="G17" s="8"/>
    </row>
    <row r="18" spans="2:7" ht="12.75" customHeight="1">
      <c r="B18" s="12" t="s">
        <v>6</v>
      </c>
      <c r="C18" s="71">
        <v>50.048000000000002</v>
      </c>
      <c r="D18" s="8"/>
      <c r="E18" s="8"/>
      <c r="F18" s="8"/>
      <c r="G18" s="8"/>
    </row>
    <row r="19" spans="2:7" ht="12.75" customHeight="1">
      <c r="B19" s="12" t="s">
        <v>21</v>
      </c>
      <c r="C19" s="71">
        <v>68.090666666666664</v>
      </c>
      <c r="F19" s="8"/>
      <c r="G19" s="8"/>
    </row>
    <row r="20" spans="2:7" ht="12.75" customHeight="1">
      <c r="B20" s="12" t="s">
        <v>22</v>
      </c>
      <c r="C20" s="71">
        <v>75.774666666666675</v>
      </c>
      <c r="F20" s="8"/>
      <c r="G20" s="8"/>
    </row>
    <row r="21" spans="2:7" ht="12.75" customHeight="1">
      <c r="B21" s="8"/>
      <c r="C21" s="8"/>
      <c r="F21" s="8"/>
      <c r="G21" s="8"/>
    </row>
    <row r="22" spans="2:7" ht="12.75" customHeight="1">
      <c r="B22" s="8"/>
      <c r="C22" s="8"/>
      <c r="F22" s="8"/>
      <c r="G22" s="8"/>
    </row>
    <row r="23" spans="2:7" ht="12.75" customHeight="1">
      <c r="B23" s="8"/>
      <c r="C23" s="8"/>
      <c r="F23" s="8"/>
      <c r="G23" s="8"/>
    </row>
    <row r="24" spans="2:7" ht="12.75" customHeight="1">
      <c r="B24" s="8"/>
      <c r="C24" s="8"/>
      <c r="F24" s="8"/>
      <c r="G24" s="8"/>
    </row>
    <row r="25" spans="2:7" ht="12.75" customHeight="1">
      <c r="B25" s="8"/>
      <c r="C25" s="8"/>
      <c r="F25" s="8"/>
      <c r="G25" s="8"/>
    </row>
    <row r="26" spans="2:7" ht="12.75" customHeight="1">
      <c r="B26" s="8"/>
      <c r="C26" s="8"/>
      <c r="F26" s="8"/>
      <c r="G26" s="63"/>
    </row>
    <row r="27" spans="2:7" ht="12.75" customHeight="1">
      <c r="B27" s="8"/>
      <c r="C27" s="8"/>
      <c r="F27" s="8"/>
      <c r="G27" s="63"/>
    </row>
    <row r="28" spans="2:7" ht="12.75" customHeight="1">
      <c r="B28" s="8"/>
      <c r="C28" s="8"/>
      <c r="F28" s="8"/>
      <c r="G28" s="63"/>
    </row>
    <row r="29" spans="2:7" ht="12.75" customHeight="1">
      <c r="B29" s="8"/>
      <c r="C29" s="8"/>
      <c r="F29" s="8"/>
      <c r="G29" s="63"/>
    </row>
    <row r="30" spans="2:7" ht="12.75" customHeight="1">
      <c r="B30" s="8"/>
      <c r="C30" s="8"/>
      <c r="F30" s="8"/>
      <c r="G30" s="63"/>
    </row>
    <row r="31" spans="2:7" ht="12.75" customHeight="1">
      <c r="B31" s="8"/>
      <c r="C31" s="8"/>
      <c r="F31" s="8"/>
      <c r="G31" s="6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"/>
  <sheetViews>
    <sheetView workbookViewId="0">
      <selection activeCell="J19" sqref="J19:J31"/>
    </sheetView>
  </sheetViews>
  <sheetFormatPr defaultRowHeight="12" customHeight="1"/>
  <cols>
    <col min="1" max="1" width="11.28515625" style="8" customWidth="1"/>
    <col min="2" max="3" width="15.28515625" style="8" customWidth="1"/>
    <col min="4" max="5" width="15.85546875" style="8" customWidth="1"/>
    <col min="6" max="16384" width="9.140625" style="8"/>
  </cols>
  <sheetData>
    <row r="1" spans="1:14" ht="12" customHeight="1">
      <c r="A1" s="10" t="s">
        <v>23</v>
      </c>
      <c r="B1" s="30" t="s">
        <v>24</v>
      </c>
      <c r="C1" s="30" t="s">
        <v>25</v>
      </c>
      <c r="D1" s="30" t="s">
        <v>26</v>
      </c>
      <c r="E1" s="30" t="s">
        <v>27</v>
      </c>
    </row>
    <row r="2" spans="1:14" ht="12" customHeight="1">
      <c r="A2" s="14">
        <v>45</v>
      </c>
      <c r="B2" s="15">
        <v>28.97</v>
      </c>
      <c r="C2" s="15">
        <v>45.4</v>
      </c>
      <c r="D2" s="15">
        <v>24</v>
      </c>
      <c r="E2" s="15">
        <v>36.700000000000003</v>
      </c>
      <c r="I2" s="8" t="s">
        <v>11</v>
      </c>
      <c r="J2" s="63">
        <v>91.670333333333346</v>
      </c>
    </row>
    <row r="3" spans="1:14" ht="12" customHeight="1">
      <c r="A3" s="14">
        <v>46</v>
      </c>
      <c r="B3" s="15">
        <v>29.87</v>
      </c>
      <c r="C3" s="15">
        <v>45.83</v>
      </c>
      <c r="D3" s="15">
        <v>24.41</v>
      </c>
      <c r="E3" s="15">
        <v>37.049999999999997</v>
      </c>
      <c r="I3" s="8" t="s">
        <v>13</v>
      </c>
      <c r="J3" s="63">
        <v>77.756250000000009</v>
      </c>
    </row>
    <row r="4" spans="1:14" ht="12" customHeight="1">
      <c r="A4" s="14">
        <v>47</v>
      </c>
      <c r="B4" s="15">
        <v>30.78</v>
      </c>
      <c r="C4" s="15">
        <v>46.29</v>
      </c>
      <c r="D4" s="15">
        <v>24.81</v>
      </c>
      <c r="E4" s="15">
        <v>37.43</v>
      </c>
      <c r="I4" s="8" t="s">
        <v>15</v>
      </c>
      <c r="J4" s="63">
        <v>87.316666666666663</v>
      </c>
      <c r="N4" s="64"/>
    </row>
    <row r="5" spans="1:14" ht="12" customHeight="1">
      <c r="A5" s="14">
        <v>48</v>
      </c>
      <c r="B5" s="15">
        <v>31.68</v>
      </c>
      <c r="C5" s="15">
        <v>46.76</v>
      </c>
      <c r="D5" s="15">
        <v>25.22</v>
      </c>
      <c r="E5" s="15">
        <v>37.81</v>
      </c>
      <c r="I5" s="8" t="s">
        <v>17</v>
      </c>
      <c r="J5" s="63">
        <v>95.681874999999991</v>
      </c>
    </row>
    <row r="6" spans="1:14" ht="12" customHeight="1">
      <c r="A6" s="14">
        <v>49</v>
      </c>
      <c r="B6" s="15">
        <v>32.590000000000003</v>
      </c>
      <c r="C6" s="15">
        <v>47.23</v>
      </c>
      <c r="D6" s="15">
        <v>25.62</v>
      </c>
      <c r="E6" s="15">
        <v>38.19</v>
      </c>
      <c r="I6" s="8" t="s">
        <v>19</v>
      </c>
      <c r="J6" s="63">
        <v>130.72182000000001</v>
      </c>
    </row>
    <row r="7" spans="1:14" ht="12" customHeight="1">
      <c r="A7" s="14">
        <v>50</v>
      </c>
      <c r="B7" s="15">
        <v>33.49</v>
      </c>
      <c r="C7" s="15">
        <v>47.71</v>
      </c>
      <c r="D7" s="15">
        <v>26.03</v>
      </c>
      <c r="E7" s="15">
        <v>38.57</v>
      </c>
    </row>
    <row r="8" spans="1:14" ht="12" customHeight="1">
      <c r="A8" s="14">
        <v>51</v>
      </c>
      <c r="B8" s="15">
        <v>34.58</v>
      </c>
      <c r="C8" s="15">
        <v>50</v>
      </c>
      <c r="D8" s="15">
        <v>26.6</v>
      </c>
      <c r="E8" s="15">
        <v>40.17</v>
      </c>
    </row>
    <row r="9" spans="1:14" ht="12" customHeight="1">
      <c r="A9" s="14">
        <v>52</v>
      </c>
      <c r="B9" s="15">
        <v>35.67</v>
      </c>
      <c r="C9" s="15">
        <v>52.28</v>
      </c>
      <c r="D9" s="15">
        <v>27.16</v>
      </c>
      <c r="E9" s="15">
        <v>41.77</v>
      </c>
      <c r="G9" s="8">
        <v>5000</v>
      </c>
      <c r="H9" s="8" t="s">
        <v>11</v>
      </c>
      <c r="I9" s="8">
        <v>122.5</v>
      </c>
      <c r="J9" s="63">
        <f>((((($G$9/1000)*I9)+48)*0.087)+((($G$9/1000)*I9)+48))/12</f>
        <v>59.83029166666666</v>
      </c>
      <c r="M9" s="65"/>
    </row>
    <row r="10" spans="1:14" ht="12" customHeight="1">
      <c r="A10" s="14">
        <v>53</v>
      </c>
      <c r="B10" s="15">
        <v>36.75</v>
      </c>
      <c r="C10" s="15">
        <v>54.57</v>
      </c>
      <c r="D10" s="15">
        <v>27.73</v>
      </c>
      <c r="E10" s="15">
        <v>43.37</v>
      </c>
      <c r="H10" s="8" t="s">
        <v>13</v>
      </c>
      <c r="I10" s="8">
        <v>96.64</v>
      </c>
      <c r="J10" s="63">
        <f>((((($G$9/1000)*I10)+48)*0.085)+((($G$9/1000)*I10)+48))/12</f>
        <v>48.029333333333341</v>
      </c>
      <c r="M10" s="66"/>
    </row>
    <row r="11" spans="1:14" ht="12" customHeight="1">
      <c r="A11" s="14">
        <v>54</v>
      </c>
      <c r="B11" s="15">
        <v>37.840000000000003</v>
      </c>
      <c r="C11" s="15">
        <v>56.85</v>
      </c>
      <c r="D11" s="15">
        <v>28.29</v>
      </c>
      <c r="E11" s="15">
        <v>44.97</v>
      </c>
      <c r="H11" s="8" t="s">
        <v>15</v>
      </c>
      <c r="I11" s="8">
        <v>146.16999999999999</v>
      </c>
      <c r="J11" s="63">
        <f t="shared" ref="J10:J15" si="0">((((($G$9/1000)*I11)+48)*0.087)+((($G$9/1000)*I11)+48))/12</f>
        <v>70.550829166666659</v>
      </c>
      <c r="M11" s="65"/>
    </row>
    <row r="12" spans="1:14" ht="12" customHeight="1">
      <c r="A12" s="14">
        <v>55</v>
      </c>
      <c r="B12" s="15">
        <v>38.93</v>
      </c>
      <c r="C12" s="15">
        <v>59.14</v>
      </c>
      <c r="D12" s="15">
        <v>28.86</v>
      </c>
      <c r="E12" s="15">
        <v>46.57</v>
      </c>
      <c r="H12" s="8" t="s">
        <v>17</v>
      </c>
      <c r="I12" s="8">
        <v>116.53</v>
      </c>
      <c r="J12" s="63">
        <f>((((($G$9/1000)*I12)+48)*0.0875)+((($G$9/1000)*I12)+48))/12</f>
        <v>57.15265625</v>
      </c>
      <c r="M12" s="66"/>
    </row>
    <row r="13" spans="1:14" ht="12" customHeight="1">
      <c r="A13" s="14">
        <v>56</v>
      </c>
      <c r="B13" s="15">
        <v>40.5</v>
      </c>
      <c r="C13" s="15">
        <v>61.42</v>
      </c>
      <c r="D13" s="15">
        <v>30.04</v>
      </c>
      <c r="E13" s="15">
        <v>48.17</v>
      </c>
      <c r="H13" s="8" t="s">
        <v>19</v>
      </c>
      <c r="I13" s="8">
        <v>152</v>
      </c>
      <c r="J13" s="63">
        <f>((((($G$9/1000)*I13)+48)*0.08333)+((($G$9/1000)*I13)+48))/12</f>
        <v>72.944220000000001</v>
      </c>
      <c r="M13" s="65"/>
    </row>
    <row r="14" spans="1:14" ht="12" customHeight="1">
      <c r="A14" s="14">
        <v>57</v>
      </c>
      <c r="B14" s="15">
        <v>42.08</v>
      </c>
      <c r="C14" s="15">
        <v>63.71</v>
      </c>
      <c r="D14" s="15">
        <v>31.23</v>
      </c>
      <c r="E14" s="15">
        <v>49.77</v>
      </c>
      <c r="H14" s="8" t="s">
        <v>20</v>
      </c>
      <c r="J14" s="63">
        <v>74.040000000000006</v>
      </c>
      <c r="M14" s="66"/>
    </row>
    <row r="15" spans="1:14" ht="12" customHeight="1">
      <c r="A15" s="14">
        <v>58</v>
      </c>
      <c r="B15" s="15">
        <v>43.66</v>
      </c>
      <c r="C15" s="15">
        <v>66</v>
      </c>
      <c r="D15" s="15">
        <v>32.42</v>
      </c>
      <c r="E15" s="15">
        <v>51.37</v>
      </c>
      <c r="H15" s="8" t="s">
        <v>6</v>
      </c>
      <c r="I15" s="8">
        <v>104.4</v>
      </c>
      <c r="J15" s="63">
        <f>((((($G$9/1000)*I15)+30)*0.088)+((($G$9/1000)*I15)+30))/12</f>
        <v>50.048000000000002</v>
      </c>
      <c r="M15" s="65"/>
    </row>
    <row r="16" spans="1:14" ht="12" customHeight="1">
      <c r="A16" s="14">
        <v>59</v>
      </c>
      <c r="B16" s="15">
        <v>45.23</v>
      </c>
      <c r="C16" s="15">
        <v>68.28</v>
      </c>
      <c r="D16" s="15">
        <v>33.61</v>
      </c>
      <c r="E16" s="15">
        <v>52.97</v>
      </c>
      <c r="M16" s="66"/>
    </row>
    <row r="17" spans="1:13" ht="12" customHeight="1">
      <c r="A17" s="14">
        <v>60</v>
      </c>
      <c r="B17" s="15">
        <v>46.81</v>
      </c>
      <c r="C17" s="15">
        <v>70.569999999999993</v>
      </c>
      <c r="D17" s="15">
        <v>34.799999999999997</v>
      </c>
      <c r="E17" s="15">
        <v>54.57</v>
      </c>
      <c r="M17" s="67"/>
    </row>
    <row r="18" spans="1:13" ht="12" customHeight="1">
      <c r="A18" s="14">
        <v>61</v>
      </c>
      <c r="B18" s="15">
        <v>49.24</v>
      </c>
      <c r="C18" s="15">
        <v>75.48</v>
      </c>
      <c r="D18" s="15">
        <v>36.93</v>
      </c>
      <c r="E18" s="15">
        <v>57.31</v>
      </c>
      <c r="M18" s="68"/>
    </row>
    <row r="19" spans="1:13" ht="12" customHeight="1">
      <c r="A19" s="14">
        <v>62</v>
      </c>
      <c r="B19" s="15">
        <v>51.67</v>
      </c>
      <c r="C19" s="15">
        <v>80.400000000000006</v>
      </c>
      <c r="D19" s="15">
        <v>39.06</v>
      </c>
      <c r="E19" s="15">
        <v>60.06</v>
      </c>
      <c r="G19" s="8" t="s">
        <v>28</v>
      </c>
      <c r="I19" s="12" t="s">
        <v>11</v>
      </c>
      <c r="J19" s="71">
        <v>59.83029166666666</v>
      </c>
    </row>
    <row r="20" spans="1:13" ht="12" customHeight="1">
      <c r="A20" s="14">
        <v>63</v>
      </c>
      <c r="B20" s="15">
        <v>54.11</v>
      </c>
      <c r="C20" s="15">
        <v>85.31</v>
      </c>
      <c r="D20" s="15">
        <v>41.2</v>
      </c>
      <c r="E20" s="15">
        <v>62.8</v>
      </c>
      <c r="G20" s="8">
        <v>5000</v>
      </c>
      <c r="I20" s="12" t="s">
        <v>12</v>
      </c>
      <c r="J20" s="71">
        <f>((((($G$9/1000)*K20)+48)*0.087)+((($G$9/1000)*K20)+48))/12</f>
        <v>84.876583333333329</v>
      </c>
      <c r="K20" s="8">
        <v>177.8</v>
      </c>
    </row>
    <row r="21" spans="1:13" ht="12" customHeight="1">
      <c r="A21" s="14">
        <v>64</v>
      </c>
      <c r="B21" s="15">
        <v>56.54</v>
      </c>
      <c r="C21" s="15">
        <v>90.23</v>
      </c>
      <c r="D21" s="15">
        <v>43.33</v>
      </c>
      <c r="E21" s="15">
        <v>65.540000000000006</v>
      </c>
      <c r="I21" s="12" t="s">
        <v>13</v>
      </c>
      <c r="J21" s="71">
        <v>48.029333333333341</v>
      </c>
    </row>
    <row r="22" spans="1:13" ht="12" customHeight="1">
      <c r="A22" s="14">
        <v>65</v>
      </c>
      <c r="B22" s="15">
        <v>58.98</v>
      </c>
      <c r="C22" s="15">
        <v>95.14</v>
      </c>
      <c r="D22" s="15">
        <v>45.47</v>
      </c>
      <c r="E22" s="15">
        <v>68.290000000000006</v>
      </c>
      <c r="I22" s="12" t="s">
        <v>14</v>
      </c>
      <c r="J22" s="71">
        <f>((((($G$9/1000)*K22)+48)*0.087)+((($G$9/1000)*K22)+48))/12</f>
        <v>67.54346249999999</v>
      </c>
      <c r="K22" s="8">
        <v>139.53</v>
      </c>
    </row>
    <row r="23" spans="1:13" ht="12" customHeight="1">
      <c r="A23" s="14">
        <v>66</v>
      </c>
      <c r="B23" s="15">
        <v>62.67</v>
      </c>
      <c r="C23" s="15">
        <v>100.06</v>
      </c>
      <c r="D23" s="15">
        <v>48.21</v>
      </c>
      <c r="E23" s="15">
        <v>71.03</v>
      </c>
      <c r="I23" s="12" t="s">
        <v>15</v>
      </c>
      <c r="J23" s="71">
        <v>70.550829166666659</v>
      </c>
    </row>
    <row r="24" spans="1:13" ht="12" customHeight="1">
      <c r="A24" s="14">
        <v>67</v>
      </c>
      <c r="B24" s="15">
        <v>66.37</v>
      </c>
      <c r="C24" s="15">
        <v>104.97</v>
      </c>
      <c r="D24" s="15">
        <v>50.95</v>
      </c>
      <c r="E24" s="15">
        <v>73.77</v>
      </c>
      <c r="I24" s="12" t="s">
        <v>16</v>
      </c>
      <c r="J24" s="71">
        <f>((((($G$9/1000)*K24)+48)*0.087)+((($G$9/1000)*K24)+48))/12</f>
        <v>102.27311249999998</v>
      </c>
      <c r="K24" s="8">
        <v>216.21</v>
      </c>
    </row>
    <row r="25" spans="1:13" ht="12" customHeight="1">
      <c r="A25" s="14">
        <v>68</v>
      </c>
      <c r="B25" s="15">
        <v>70.069999999999993</v>
      </c>
      <c r="C25" s="15">
        <v>109.89</v>
      </c>
      <c r="D25" s="15">
        <v>53.69</v>
      </c>
      <c r="E25" s="15">
        <v>76.52</v>
      </c>
      <c r="I25" s="12" t="s">
        <v>17</v>
      </c>
      <c r="J25" s="71">
        <v>57.15265625</v>
      </c>
    </row>
    <row r="26" spans="1:13" ht="12" customHeight="1">
      <c r="A26" s="14">
        <v>69</v>
      </c>
      <c r="B26" s="15">
        <v>73.760000000000005</v>
      </c>
      <c r="C26" s="15">
        <v>114.8</v>
      </c>
      <c r="D26" s="15">
        <v>56.43</v>
      </c>
      <c r="E26" s="15">
        <v>79.260000000000005</v>
      </c>
      <c r="I26" s="12" t="s">
        <v>18</v>
      </c>
      <c r="J26" s="71">
        <f>((((($G$9/1000)*K26)+48)*0.087)+((($G$9/1000)*K26)+48))/12</f>
        <v>66.112245833333333</v>
      </c>
      <c r="K26" s="8">
        <v>136.37</v>
      </c>
      <c r="L26" s="63"/>
    </row>
    <row r="27" spans="1:13" ht="12" customHeight="1">
      <c r="A27" s="14">
        <v>70</v>
      </c>
      <c r="B27" s="15">
        <v>77.459999999999994</v>
      </c>
      <c r="C27" s="15">
        <v>119.72</v>
      </c>
      <c r="D27" s="15">
        <v>59.17</v>
      </c>
      <c r="E27" s="15">
        <v>82</v>
      </c>
      <c r="I27" s="12" t="s">
        <v>19</v>
      </c>
      <c r="J27" s="71">
        <v>72.944220000000001</v>
      </c>
      <c r="L27" s="63"/>
    </row>
    <row r="28" spans="1:13" ht="12" customHeight="1">
      <c r="A28" s="14">
        <v>71</v>
      </c>
      <c r="B28" s="15">
        <v>83.85</v>
      </c>
      <c r="C28" s="15">
        <v>131.6</v>
      </c>
      <c r="D28" s="15">
        <v>65.11</v>
      </c>
      <c r="E28" s="15">
        <v>91.14</v>
      </c>
      <c r="I28" s="12" t="s">
        <v>20</v>
      </c>
      <c r="J28" s="71">
        <v>74.040000000000006</v>
      </c>
      <c r="L28" s="63"/>
    </row>
    <row r="29" spans="1:13" ht="12" customHeight="1">
      <c r="A29" s="14">
        <v>72</v>
      </c>
      <c r="B29" s="15">
        <v>90.25</v>
      </c>
      <c r="C29" s="15">
        <v>143.49</v>
      </c>
      <c r="D29" s="15">
        <v>71.040000000000006</v>
      </c>
      <c r="E29" s="15">
        <v>100.29</v>
      </c>
      <c r="I29" s="12" t="s">
        <v>6</v>
      </c>
      <c r="J29" s="71">
        <v>50.048000000000002</v>
      </c>
      <c r="L29" s="63"/>
    </row>
    <row r="30" spans="1:13" ht="12" customHeight="1">
      <c r="A30" s="14">
        <v>73</v>
      </c>
      <c r="B30" s="15">
        <v>96.64</v>
      </c>
      <c r="C30" s="15">
        <v>155.37</v>
      </c>
      <c r="D30" s="15">
        <v>76.98</v>
      </c>
      <c r="E30" s="15">
        <v>109.43</v>
      </c>
      <c r="I30" s="12" t="s">
        <v>21</v>
      </c>
      <c r="J30" s="71">
        <f>((((($G$9/1000)*K30)+30)*0.088)+((($G$9/1000)*K30)+30))/12</f>
        <v>68.090666666666664</v>
      </c>
      <c r="K30" s="8">
        <v>144.19999999999999</v>
      </c>
      <c r="L30" s="63"/>
    </row>
    <row r="31" spans="1:13" ht="12" customHeight="1">
      <c r="A31" s="14">
        <v>74</v>
      </c>
      <c r="B31" s="15">
        <v>103.03</v>
      </c>
      <c r="C31" s="15">
        <v>167.26</v>
      </c>
      <c r="D31" s="15">
        <v>82.92</v>
      </c>
      <c r="E31" s="15">
        <v>118.57</v>
      </c>
      <c r="I31" s="12" t="s">
        <v>22</v>
      </c>
      <c r="J31" s="71">
        <f>((((($G$9/1000)*K31)+30)*0.088)+((($G$9/1000)*K31)+30))/12</f>
        <v>75.774666666666675</v>
      </c>
      <c r="K31" s="8">
        <v>161.15</v>
      </c>
      <c r="L31" s="63"/>
    </row>
    <row r="32" spans="1:13" ht="12" customHeight="1">
      <c r="A32" s="14">
        <v>75</v>
      </c>
      <c r="B32" s="15">
        <v>109.42</v>
      </c>
      <c r="C32" s="15">
        <v>179.14</v>
      </c>
      <c r="D32" s="15">
        <v>88.85</v>
      </c>
      <c r="E32" s="15">
        <v>127.72</v>
      </c>
      <c r="L32" s="63"/>
    </row>
    <row r="33" spans="1:11" ht="12" customHeight="1">
      <c r="A33" s="14">
        <v>76</v>
      </c>
      <c r="B33" s="15">
        <v>122.23</v>
      </c>
      <c r="C33" s="15">
        <v>191.03</v>
      </c>
      <c r="D33" s="15">
        <v>96.63</v>
      </c>
      <c r="E33" s="15">
        <v>136.86000000000001</v>
      </c>
    </row>
    <row r="34" spans="1:11" ht="12" customHeight="1">
      <c r="A34" s="14">
        <v>77</v>
      </c>
      <c r="B34" s="15">
        <v>135.03</v>
      </c>
      <c r="C34" s="15">
        <v>202.91</v>
      </c>
      <c r="D34" s="15">
        <v>104.4</v>
      </c>
      <c r="E34" s="15">
        <v>146</v>
      </c>
    </row>
    <row r="35" spans="1:11" ht="12" customHeight="1">
      <c r="A35" s="14">
        <v>78</v>
      </c>
      <c r="B35" s="15">
        <v>147.83000000000001</v>
      </c>
      <c r="C35" s="15">
        <v>214.8</v>
      </c>
      <c r="D35" s="15">
        <v>112.17</v>
      </c>
      <c r="E35" s="15">
        <v>155.15</v>
      </c>
    </row>
    <row r="36" spans="1:11" ht="12" customHeight="1">
      <c r="A36" s="14">
        <v>79</v>
      </c>
      <c r="B36" s="15">
        <v>160.63</v>
      </c>
      <c r="C36" s="15">
        <v>226.69</v>
      </c>
      <c r="D36" s="15">
        <v>119.94</v>
      </c>
      <c r="E36" s="15">
        <v>164.29</v>
      </c>
    </row>
    <row r="37" spans="1:11" ht="12" customHeight="1">
      <c r="A37" s="14">
        <v>80</v>
      </c>
      <c r="B37" s="15">
        <v>173.43</v>
      </c>
      <c r="C37" s="15">
        <v>238.57</v>
      </c>
      <c r="D37" s="15">
        <v>127.72</v>
      </c>
      <c r="E37" s="15">
        <v>173.43</v>
      </c>
    </row>
    <row r="39" spans="1:11" ht="12" customHeight="1">
      <c r="K39" s="8">
        <f>216.21*5</f>
        <v>1081.05</v>
      </c>
    </row>
    <row r="40" spans="1:11" ht="12" customHeight="1">
      <c r="K40" s="8">
        <f>1081.05/12</f>
        <v>90.087499999999991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8AD7F-4150-48B5-B7FE-D8AE5429AB8E}">
  <dimension ref="A1:C32"/>
  <sheetViews>
    <sheetView workbookViewId="0">
      <selection activeCell="B30" sqref="B30"/>
    </sheetView>
  </sheetViews>
  <sheetFormatPr defaultRowHeight="15"/>
  <cols>
    <col min="1" max="1" width="9.140625" style="51"/>
    <col min="2" max="2" width="20.28515625" style="51" customWidth="1"/>
    <col min="3" max="3" width="18.140625" style="51" customWidth="1"/>
    <col min="4" max="16384" width="9.140625" style="51"/>
  </cols>
  <sheetData>
    <row r="1" spans="1:3">
      <c r="A1" s="57" t="s">
        <v>23</v>
      </c>
      <c r="B1" s="60" t="s">
        <v>29</v>
      </c>
      <c r="C1" s="60" t="s">
        <v>30</v>
      </c>
    </row>
    <row r="2" spans="1:3">
      <c r="A2" s="58">
        <v>45</v>
      </c>
      <c r="B2" s="53">
        <v>45.99</v>
      </c>
      <c r="C2" s="53">
        <v>36.29</v>
      </c>
    </row>
    <row r="3" spans="1:3">
      <c r="A3" s="58">
        <v>46</v>
      </c>
      <c r="B3" s="53">
        <v>47.25</v>
      </c>
      <c r="C3" s="53">
        <v>36.86</v>
      </c>
    </row>
    <row r="4" spans="1:3">
      <c r="A4" s="58">
        <v>47</v>
      </c>
      <c r="B4" s="53">
        <v>49.77</v>
      </c>
      <c r="C4" s="53">
        <v>37.979999999999997</v>
      </c>
    </row>
    <row r="5" spans="1:3">
      <c r="A5" s="58">
        <v>48</v>
      </c>
      <c r="B5" s="53">
        <v>52.28</v>
      </c>
      <c r="C5" s="53">
        <v>39.15</v>
      </c>
    </row>
    <row r="6" spans="1:3">
      <c r="A6" s="58">
        <v>49</v>
      </c>
      <c r="B6" s="53">
        <v>58.57</v>
      </c>
      <c r="C6" s="53">
        <v>42.57</v>
      </c>
    </row>
    <row r="7" spans="1:3">
      <c r="A7" s="58">
        <v>50</v>
      </c>
      <c r="B7" s="53">
        <v>64.86</v>
      </c>
      <c r="C7" s="53">
        <v>52.28</v>
      </c>
    </row>
    <row r="8" spans="1:3">
      <c r="A8" s="58">
        <v>51</v>
      </c>
      <c r="B8" s="53">
        <v>68.510000000000005</v>
      </c>
      <c r="C8" s="53">
        <v>54.57</v>
      </c>
    </row>
    <row r="9" spans="1:3">
      <c r="A9" s="58">
        <v>52</v>
      </c>
      <c r="B9" s="53">
        <v>72.180000000000007</v>
      </c>
      <c r="C9" s="53">
        <v>56.85</v>
      </c>
    </row>
    <row r="10" spans="1:3">
      <c r="A10" s="58">
        <v>53</v>
      </c>
      <c r="B10" s="53">
        <v>75.83</v>
      </c>
      <c r="C10" s="53">
        <v>59.14</v>
      </c>
    </row>
    <row r="11" spans="1:3">
      <c r="A11" s="58">
        <v>54</v>
      </c>
      <c r="B11" s="53">
        <v>79.5</v>
      </c>
      <c r="C11" s="53">
        <v>61.43</v>
      </c>
    </row>
    <row r="12" spans="1:3">
      <c r="A12" s="58">
        <v>55</v>
      </c>
      <c r="B12" s="53">
        <v>83.14</v>
      </c>
      <c r="C12" s="53">
        <v>63.71</v>
      </c>
    </row>
    <row r="13" spans="1:3">
      <c r="A13" s="58">
        <v>56</v>
      </c>
      <c r="B13" s="53">
        <v>86.8</v>
      </c>
      <c r="C13" s="53">
        <v>66</v>
      </c>
    </row>
    <row r="14" spans="1:3">
      <c r="A14" s="58">
        <v>57</v>
      </c>
      <c r="B14" s="53">
        <v>90.46</v>
      </c>
      <c r="C14" s="53">
        <v>68.28</v>
      </c>
    </row>
    <row r="15" spans="1:3">
      <c r="A15" s="58">
        <v>58</v>
      </c>
      <c r="B15" s="53">
        <v>94.12</v>
      </c>
      <c r="C15" s="53">
        <v>70.569999999999993</v>
      </c>
    </row>
    <row r="16" spans="1:3">
      <c r="A16" s="58">
        <v>59</v>
      </c>
      <c r="B16" s="53">
        <v>97.77</v>
      </c>
      <c r="C16" s="53">
        <v>72.849999999999994</v>
      </c>
    </row>
    <row r="17" spans="1:3">
      <c r="A17" s="58">
        <v>60</v>
      </c>
      <c r="B17" s="53">
        <v>101.43</v>
      </c>
      <c r="C17" s="53">
        <v>75.14</v>
      </c>
    </row>
    <row r="18" spans="1:3">
      <c r="A18" s="61">
        <v>61</v>
      </c>
      <c r="B18" s="53">
        <v>66.61</v>
      </c>
      <c r="C18" s="53">
        <v>48.5</v>
      </c>
    </row>
    <row r="19" spans="1:3">
      <c r="A19" s="61">
        <v>62</v>
      </c>
      <c r="B19" s="53">
        <v>70.41</v>
      </c>
      <c r="C19" s="53">
        <v>51.56</v>
      </c>
    </row>
    <row r="20" spans="1:3">
      <c r="A20" s="61">
        <v>63</v>
      </c>
      <c r="B20" s="53">
        <v>74.209999999999994</v>
      </c>
      <c r="C20" s="53">
        <v>54.63</v>
      </c>
    </row>
    <row r="21" spans="1:3">
      <c r="A21" s="61">
        <v>64</v>
      </c>
      <c r="B21" s="53">
        <v>78.02</v>
      </c>
      <c r="C21" s="53">
        <v>57.68</v>
      </c>
    </row>
    <row r="22" spans="1:3">
      <c r="A22" s="61">
        <v>65</v>
      </c>
      <c r="B22" s="53">
        <v>81.819999999999993</v>
      </c>
      <c r="C22" s="53">
        <v>60.73</v>
      </c>
    </row>
    <row r="23" spans="1:3">
      <c r="A23" s="61">
        <v>66</v>
      </c>
      <c r="B23" s="53">
        <v>87.8</v>
      </c>
      <c r="C23" s="53">
        <v>64.98</v>
      </c>
    </row>
    <row r="24" spans="1:3">
      <c r="A24" s="61">
        <v>67</v>
      </c>
      <c r="B24" s="53">
        <v>93.79</v>
      </c>
      <c r="C24" s="53">
        <v>69.239999999999995</v>
      </c>
    </row>
    <row r="25" spans="1:3">
      <c r="A25" s="61">
        <v>68</v>
      </c>
      <c r="B25" s="53">
        <v>99.78</v>
      </c>
      <c r="C25" s="53">
        <v>73.5</v>
      </c>
    </row>
    <row r="26" spans="1:3">
      <c r="A26" s="61">
        <v>69</v>
      </c>
      <c r="B26" s="53">
        <v>105.76</v>
      </c>
      <c r="C26" s="53">
        <v>77.75</v>
      </c>
    </row>
    <row r="27" spans="1:3">
      <c r="A27" s="61">
        <v>70</v>
      </c>
      <c r="B27" s="53">
        <v>111.75</v>
      </c>
      <c r="C27" s="53">
        <v>82.01</v>
      </c>
    </row>
    <row r="28" spans="1:3">
      <c r="A28" s="61">
        <v>71</v>
      </c>
      <c r="B28" s="53">
        <v>121.01</v>
      </c>
      <c r="C28" s="53">
        <v>89.22</v>
      </c>
    </row>
    <row r="29" spans="1:3">
      <c r="A29" s="61">
        <v>72</v>
      </c>
      <c r="B29" s="53">
        <v>130.27000000000001</v>
      </c>
      <c r="C29" s="53">
        <v>96.43</v>
      </c>
    </row>
    <row r="30" spans="1:3">
      <c r="A30" s="61">
        <v>73</v>
      </c>
      <c r="B30" s="53">
        <v>139.53</v>
      </c>
      <c r="C30" s="53">
        <v>103.64</v>
      </c>
    </row>
    <row r="31" spans="1:3">
      <c r="A31" s="61">
        <v>74</v>
      </c>
      <c r="B31" s="53">
        <v>148.79</v>
      </c>
      <c r="C31" s="53">
        <v>110.85</v>
      </c>
    </row>
    <row r="32" spans="1:3">
      <c r="A32" s="61">
        <v>75</v>
      </c>
      <c r="B32" s="53">
        <v>158.06</v>
      </c>
      <c r="C32" s="53">
        <v>118.05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D819D-B341-4D16-93F4-7DF5BF2E624A}">
  <dimension ref="A1:I43"/>
  <sheetViews>
    <sheetView topLeftCell="A21" workbookViewId="0">
      <selection activeCell="H29" sqref="H29"/>
    </sheetView>
  </sheetViews>
  <sheetFormatPr defaultColWidth="11.85546875" defaultRowHeight="15" customHeight="1"/>
  <cols>
    <col min="1" max="1" width="11.85546875" style="13"/>
    <col min="2" max="2" width="16.28515625" style="13" customWidth="1"/>
    <col min="3" max="3" width="13.28515625" style="13" customWidth="1"/>
    <col min="4" max="4" width="17.140625" style="13" customWidth="1"/>
    <col min="5" max="5" width="14.7109375" style="13" customWidth="1"/>
    <col min="6" max="16384" width="11.85546875" style="13"/>
  </cols>
  <sheetData>
    <row r="1" spans="1:5" s="25" customFormat="1" ht="15" customHeight="1">
      <c r="A1" s="25" t="s">
        <v>23</v>
      </c>
      <c r="B1" s="26" t="s">
        <v>31</v>
      </c>
      <c r="C1" s="27" t="s">
        <v>32</v>
      </c>
      <c r="D1" s="27" t="s">
        <v>33</v>
      </c>
      <c r="E1" s="27" t="s">
        <v>34</v>
      </c>
    </row>
    <row r="2" spans="1:5" ht="15" customHeight="1">
      <c r="A2" s="19">
        <v>50</v>
      </c>
      <c r="B2" s="20">
        <v>38.9</v>
      </c>
      <c r="C2" s="20">
        <v>52.9</v>
      </c>
      <c r="D2" s="20">
        <v>30.85</v>
      </c>
      <c r="E2" s="20">
        <v>41.8</v>
      </c>
    </row>
    <row r="3" spans="1:5" ht="15" customHeight="1">
      <c r="A3" s="21">
        <v>51</v>
      </c>
      <c r="B3" s="22">
        <v>40.35</v>
      </c>
      <c r="C3" s="22">
        <v>55.05</v>
      </c>
      <c r="D3" s="22">
        <v>32.049999999999997</v>
      </c>
      <c r="E3" s="22">
        <v>43.25</v>
      </c>
    </row>
    <row r="4" spans="1:5" ht="15" customHeight="1">
      <c r="A4" s="21">
        <v>52</v>
      </c>
      <c r="B4" s="22">
        <v>41.8</v>
      </c>
      <c r="C4" s="22">
        <v>57.2</v>
      </c>
      <c r="D4" s="22">
        <v>33.25</v>
      </c>
      <c r="E4" s="22">
        <v>44.7</v>
      </c>
    </row>
    <row r="5" spans="1:5" ht="15" customHeight="1">
      <c r="A5" s="21">
        <v>53</v>
      </c>
      <c r="B5" s="22">
        <v>43.25</v>
      </c>
      <c r="C5" s="22">
        <v>59.35</v>
      </c>
      <c r="D5" s="22">
        <v>34.450000000000003</v>
      </c>
      <c r="E5" s="22">
        <v>46.15</v>
      </c>
    </row>
    <row r="6" spans="1:5" ht="15" customHeight="1">
      <c r="A6" s="21">
        <v>54</v>
      </c>
      <c r="B6" s="22">
        <v>44.7</v>
      </c>
      <c r="C6" s="22">
        <v>61.5</v>
      </c>
      <c r="D6" s="22">
        <v>35.65</v>
      </c>
      <c r="E6" s="22">
        <v>47.6</v>
      </c>
    </row>
    <row r="7" spans="1:5" ht="15" customHeight="1">
      <c r="A7" s="21">
        <v>55</v>
      </c>
      <c r="B7" s="22">
        <v>46.15</v>
      </c>
      <c r="C7" s="22">
        <v>63.65</v>
      </c>
      <c r="D7" s="22">
        <v>36.85</v>
      </c>
      <c r="E7" s="22">
        <v>49.05</v>
      </c>
    </row>
    <row r="8" spans="1:5" ht="15" customHeight="1">
      <c r="A8" s="21">
        <v>56</v>
      </c>
      <c r="B8" s="22">
        <v>48.2</v>
      </c>
      <c r="C8" s="22">
        <v>66.5</v>
      </c>
      <c r="D8" s="22">
        <v>38.5</v>
      </c>
      <c r="E8" s="22">
        <v>51.25</v>
      </c>
    </row>
    <row r="9" spans="1:5" ht="15" customHeight="1">
      <c r="A9" s="21">
        <v>57</v>
      </c>
      <c r="B9" s="22">
        <v>50.25</v>
      </c>
      <c r="C9" s="22">
        <v>69.349999999999994</v>
      </c>
      <c r="D9" s="22">
        <v>40.15</v>
      </c>
      <c r="E9" s="22">
        <v>53.45</v>
      </c>
    </row>
    <row r="10" spans="1:5" ht="15" customHeight="1">
      <c r="A10" s="21">
        <v>58</v>
      </c>
      <c r="B10" s="22">
        <v>52.3</v>
      </c>
      <c r="C10" s="22">
        <v>72.2</v>
      </c>
      <c r="D10" s="22">
        <v>41.8</v>
      </c>
      <c r="E10" s="22">
        <v>55.65</v>
      </c>
    </row>
    <row r="11" spans="1:5" ht="15" customHeight="1">
      <c r="A11" s="21">
        <v>59</v>
      </c>
      <c r="B11" s="22">
        <v>54.35</v>
      </c>
      <c r="C11" s="22">
        <v>75.05</v>
      </c>
      <c r="D11" s="22">
        <v>43.45</v>
      </c>
      <c r="E11" s="22">
        <v>57.85</v>
      </c>
    </row>
    <row r="12" spans="1:5" ht="15" customHeight="1">
      <c r="A12" s="21">
        <v>60</v>
      </c>
      <c r="B12" s="22">
        <v>56.4</v>
      </c>
      <c r="C12" s="22">
        <v>77.900000000000006</v>
      </c>
      <c r="D12" s="22">
        <v>45.1</v>
      </c>
      <c r="E12" s="22">
        <v>60.05</v>
      </c>
    </row>
    <row r="13" spans="1:5" ht="15" customHeight="1">
      <c r="A13" s="21">
        <v>61</v>
      </c>
      <c r="B13" s="22">
        <v>59.35</v>
      </c>
      <c r="C13" s="22">
        <v>82.4</v>
      </c>
      <c r="D13" s="22">
        <v>47.55</v>
      </c>
      <c r="E13" s="22">
        <v>63.35</v>
      </c>
    </row>
    <row r="14" spans="1:5" ht="15" customHeight="1">
      <c r="A14" s="21">
        <v>62</v>
      </c>
      <c r="B14" s="22">
        <v>62.3</v>
      </c>
      <c r="C14" s="22">
        <v>86.9</v>
      </c>
      <c r="D14" s="22">
        <v>50</v>
      </c>
      <c r="E14" s="22">
        <v>66.650000000000006</v>
      </c>
    </row>
    <row r="15" spans="1:5" ht="15" customHeight="1">
      <c r="A15" s="21">
        <v>63</v>
      </c>
      <c r="B15" s="22">
        <v>65.25</v>
      </c>
      <c r="C15" s="22">
        <v>91.4</v>
      </c>
      <c r="D15" s="22">
        <v>52.45</v>
      </c>
      <c r="E15" s="22">
        <v>69.95</v>
      </c>
    </row>
    <row r="16" spans="1:5" ht="15" customHeight="1">
      <c r="A16" s="21">
        <v>64</v>
      </c>
      <c r="B16" s="22">
        <v>68.2</v>
      </c>
      <c r="C16" s="22">
        <v>95.9</v>
      </c>
      <c r="D16" s="22">
        <v>54.9</v>
      </c>
      <c r="E16" s="22">
        <v>73.25</v>
      </c>
    </row>
    <row r="17" spans="1:9" ht="15" customHeight="1">
      <c r="A17" s="21">
        <v>65</v>
      </c>
      <c r="B17" s="22">
        <v>71.150000000000006</v>
      </c>
      <c r="C17" s="22">
        <v>100.4</v>
      </c>
      <c r="D17" s="22">
        <v>57.35</v>
      </c>
      <c r="E17" s="22">
        <v>76.55</v>
      </c>
    </row>
    <row r="18" spans="1:9" ht="15" customHeight="1">
      <c r="A18" s="21">
        <v>66</v>
      </c>
      <c r="B18" s="22">
        <v>76.2</v>
      </c>
      <c r="C18" s="22">
        <v>108.5</v>
      </c>
      <c r="D18" s="22">
        <v>61.8</v>
      </c>
      <c r="E18" s="22">
        <v>83.5</v>
      </c>
    </row>
    <row r="19" spans="1:9" ht="15" customHeight="1">
      <c r="A19" s="21">
        <v>67</v>
      </c>
      <c r="B19" s="22">
        <v>81.25</v>
      </c>
      <c r="C19" s="22">
        <v>116.6</v>
      </c>
      <c r="D19" s="22">
        <v>66.25</v>
      </c>
      <c r="E19" s="22">
        <v>90.45</v>
      </c>
    </row>
    <row r="20" spans="1:9" ht="15" customHeight="1">
      <c r="A20" s="21">
        <v>68</v>
      </c>
      <c r="B20" s="22">
        <v>86.3</v>
      </c>
      <c r="C20" s="22">
        <v>124.7</v>
      </c>
      <c r="D20" s="22">
        <v>70.7</v>
      </c>
      <c r="E20" s="22">
        <v>97.4</v>
      </c>
    </row>
    <row r="21" spans="1:9" ht="15" customHeight="1">
      <c r="A21" s="21">
        <v>69</v>
      </c>
      <c r="B21" s="22">
        <v>91.35</v>
      </c>
      <c r="C21" s="22">
        <v>132.80000000000001</v>
      </c>
      <c r="D21" s="22">
        <v>75.150000000000006</v>
      </c>
      <c r="E21" s="22">
        <v>104.35</v>
      </c>
    </row>
    <row r="22" spans="1:9" ht="15" customHeight="1">
      <c r="A22" s="21">
        <v>70</v>
      </c>
      <c r="B22" s="22">
        <v>96.4</v>
      </c>
      <c r="C22" s="22">
        <v>140.9</v>
      </c>
      <c r="D22" s="22">
        <v>79.599999999999994</v>
      </c>
      <c r="E22" s="22">
        <v>111.3</v>
      </c>
    </row>
    <row r="23" spans="1:9" ht="15" customHeight="1">
      <c r="A23" s="21">
        <v>71</v>
      </c>
      <c r="B23" s="22">
        <v>105.1</v>
      </c>
      <c r="C23" s="22">
        <v>153.19999999999999</v>
      </c>
      <c r="D23" s="22">
        <v>86.85</v>
      </c>
      <c r="E23" s="22">
        <v>121.15</v>
      </c>
    </row>
    <row r="24" spans="1:9" ht="15" customHeight="1">
      <c r="A24" s="21">
        <v>72</v>
      </c>
      <c r="B24" s="22">
        <v>113.8</v>
      </c>
      <c r="C24" s="22">
        <v>165.5</v>
      </c>
      <c r="D24" s="22">
        <v>94.1</v>
      </c>
      <c r="E24" s="22">
        <v>131</v>
      </c>
    </row>
    <row r="25" spans="1:9" ht="15" customHeight="1">
      <c r="A25" s="21">
        <v>73</v>
      </c>
      <c r="B25" s="22">
        <v>122.5</v>
      </c>
      <c r="C25" s="22">
        <v>177.8</v>
      </c>
      <c r="D25" s="22">
        <v>101.35</v>
      </c>
      <c r="E25" s="22">
        <v>140.85</v>
      </c>
    </row>
    <row r="26" spans="1:9" ht="15" customHeight="1">
      <c r="A26" s="21">
        <v>74</v>
      </c>
      <c r="B26" s="22">
        <v>131.19999999999999</v>
      </c>
      <c r="C26" s="22">
        <v>190.1</v>
      </c>
      <c r="D26" s="22">
        <v>108.6</v>
      </c>
      <c r="E26" s="22">
        <v>150.69999999999999</v>
      </c>
      <c r="H26" s="13">
        <f>122.5*5</f>
        <v>612.5</v>
      </c>
    </row>
    <row r="27" spans="1:9" ht="15" customHeight="1">
      <c r="A27" s="21">
        <v>75</v>
      </c>
      <c r="B27" s="22">
        <v>139.9</v>
      </c>
      <c r="C27" s="22">
        <v>202.4</v>
      </c>
      <c r="D27" s="22">
        <v>115.85</v>
      </c>
      <c r="E27" s="22">
        <v>160.55000000000001</v>
      </c>
      <c r="H27" s="13">
        <f>612.5+48</f>
        <v>660.5</v>
      </c>
    </row>
    <row r="28" spans="1:9" ht="15" customHeight="1">
      <c r="A28" s="21">
        <v>76</v>
      </c>
      <c r="B28" s="22">
        <v>153.19999999999999</v>
      </c>
      <c r="C28" s="22">
        <v>219.1</v>
      </c>
      <c r="D28" s="22">
        <v>126.9</v>
      </c>
      <c r="E28" s="22">
        <v>172.95</v>
      </c>
      <c r="H28" s="13">
        <f>660.5*0.087</f>
        <v>57.463499999999996</v>
      </c>
    </row>
    <row r="29" spans="1:9" ht="15" customHeight="1">
      <c r="A29" s="21">
        <v>77</v>
      </c>
      <c r="B29" s="22">
        <v>166.5</v>
      </c>
      <c r="C29" s="22">
        <v>235.8</v>
      </c>
      <c r="D29" s="22">
        <v>137.94999999999999</v>
      </c>
      <c r="E29" s="22">
        <v>185.35</v>
      </c>
      <c r="H29" s="13">
        <f>660.5+57.46</f>
        <v>717.96</v>
      </c>
    </row>
    <row r="30" spans="1:9" ht="15" customHeight="1">
      <c r="A30" s="21">
        <v>78</v>
      </c>
      <c r="B30" s="22">
        <v>179.8</v>
      </c>
      <c r="C30" s="22">
        <v>252.5</v>
      </c>
      <c r="D30" s="22">
        <v>149</v>
      </c>
      <c r="E30" s="22">
        <v>197.75</v>
      </c>
      <c r="H30" s="13">
        <f>717.96/12</f>
        <v>59.830000000000005</v>
      </c>
    </row>
    <row r="31" spans="1:9" ht="15" customHeight="1">
      <c r="A31" s="21">
        <v>79</v>
      </c>
      <c r="B31" s="22">
        <v>193.1</v>
      </c>
      <c r="C31" s="22">
        <v>269.2</v>
      </c>
      <c r="D31" s="22">
        <v>160.05000000000001</v>
      </c>
      <c r="E31" s="22">
        <v>210.15</v>
      </c>
    </row>
    <row r="32" spans="1:9" ht="15" customHeight="1">
      <c r="A32" s="21">
        <v>80</v>
      </c>
      <c r="B32" s="22">
        <v>206.4</v>
      </c>
      <c r="C32" s="22">
        <v>285.89999999999998</v>
      </c>
      <c r="D32" s="22">
        <v>171.1</v>
      </c>
      <c r="E32" s="22">
        <v>222.55</v>
      </c>
      <c r="H32" s="13" t="s">
        <v>11</v>
      </c>
      <c r="I32" s="13">
        <v>59.83</v>
      </c>
    </row>
    <row r="33" spans="1:5" ht="15" customHeight="1">
      <c r="A33" s="21">
        <v>81</v>
      </c>
      <c r="B33" s="22">
        <v>223.1</v>
      </c>
      <c r="C33" s="22">
        <v>310.2</v>
      </c>
      <c r="D33" s="22">
        <v>184.6</v>
      </c>
      <c r="E33" s="22">
        <v>241.2</v>
      </c>
    </row>
    <row r="34" spans="1:5" ht="15" customHeight="1">
      <c r="A34" s="21">
        <v>82</v>
      </c>
      <c r="B34" s="22">
        <v>239.8</v>
      </c>
      <c r="C34" s="22">
        <v>334.5</v>
      </c>
      <c r="D34" s="22">
        <v>198.1</v>
      </c>
      <c r="E34" s="22">
        <v>259.85000000000002</v>
      </c>
    </row>
    <row r="35" spans="1:5" ht="15" customHeight="1">
      <c r="A35" s="21">
        <v>83</v>
      </c>
      <c r="B35" s="22">
        <v>256.5</v>
      </c>
      <c r="C35" s="22">
        <v>358.8</v>
      </c>
      <c r="D35" s="22">
        <v>211.6</v>
      </c>
      <c r="E35" s="22">
        <v>278.5</v>
      </c>
    </row>
    <row r="36" spans="1:5" ht="15" customHeight="1">
      <c r="A36" s="21">
        <v>84</v>
      </c>
      <c r="B36" s="22">
        <v>273.2</v>
      </c>
      <c r="C36" s="22">
        <v>383.1</v>
      </c>
      <c r="D36" s="22">
        <v>225.1</v>
      </c>
      <c r="E36" s="22">
        <v>297.14999999999998</v>
      </c>
    </row>
    <row r="37" spans="1:5" ht="15" customHeight="1">
      <c r="A37" s="21">
        <v>85</v>
      </c>
      <c r="B37" s="22">
        <v>289.89999999999998</v>
      </c>
      <c r="C37" s="22">
        <v>407.4</v>
      </c>
      <c r="D37" s="22">
        <v>238.6</v>
      </c>
      <c r="E37" s="22">
        <v>315.8</v>
      </c>
    </row>
    <row r="38" spans="1:5" ht="15" customHeight="1">
      <c r="A38" s="28"/>
      <c r="B38" s="29"/>
      <c r="C38" s="29"/>
    </row>
    <row r="39" spans="1:5" ht="15" customHeight="1">
      <c r="A39" s="28"/>
      <c r="B39" s="29"/>
      <c r="C39" s="29"/>
    </row>
    <row r="40" spans="1:5" ht="15" customHeight="1">
      <c r="A40" s="28"/>
      <c r="B40" s="29"/>
      <c r="C40" s="29"/>
    </row>
    <row r="41" spans="1:5" ht="15" customHeight="1">
      <c r="A41" s="28"/>
      <c r="B41" s="29"/>
      <c r="C41" s="29"/>
    </row>
    <row r="42" spans="1:5" ht="15" customHeight="1">
      <c r="A42" s="28"/>
      <c r="B42" s="29"/>
      <c r="C42" s="29"/>
    </row>
    <row r="43" spans="1:5" ht="15" customHeight="1">
      <c r="A43" s="28"/>
      <c r="B43" s="29"/>
      <c r="C43" s="2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8520F-2CAE-46AD-B47C-43D0981160AD}">
  <dimension ref="A1:E27"/>
  <sheetViews>
    <sheetView workbookViewId="0">
      <selection activeCell="B25" sqref="B25"/>
    </sheetView>
  </sheetViews>
  <sheetFormatPr defaultRowHeight="12"/>
  <cols>
    <col min="1" max="1" width="7.140625" style="9" customWidth="1"/>
    <col min="2" max="2" width="17.7109375" style="8" customWidth="1"/>
    <col min="3" max="3" width="13.85546875" style="8" customWidth="1"/>
    <col min="4" max="4" width="17.7109375" style="8" customWidth="1"/>
    <col min="5" max="5" width="15.140625" style="8" customWidth="1"/>
    <col min="6" max="16384" width="9.140625" style="8"/>
  </cols>
  <sheetData>
    <row r="1" spans="1:5" ht="12.75">
      <c r="A1" s="54" t="s">
        <v>23</v>
      </c>
      <c r="B1" s="27" t="s">
        <v>31</v>
      </c>
      <c r="C1" s="27" t="s">
        <v>25</v>
      </c>
      <c r="D1" s="55" t="s">
        <v>26</v>
      </c>
      <c r="E1" s="27" t="s">
        <v>27</v>
      </c>
    </row>
    <row r="2" spans="1:5">
      <c r="A2" s="62">
        <v>50</v>
      </c>
      <c r="B2" s="56">
        <v>52.9</v>
      </c>
      <c r="C2" s="56">
        <v>77.900000000000006</v>
      </c>
      <c r="D2" s="56">
        <v>41.8</v>
      </c>
      <c r="E2" s="56">
        <v>60.05</v>
      </c>
    </row>
    <row r="3" spans="1:5">
      <c r="A3" s="62">
        <v>51</v>
      </c>
      <c r="B3" s="56">
        <v>55.05</v>
      </c>
      <c r="C3" s="56">
        <v>82.4</v>
      </c>
      <c r="D3" s="56">
        <v>43.25</v>
      </c>
      <c r="E3" s="56">
        <v>63.35</v>
      </c>
    </row>
    <row r="4" spans="1:5">
      <c r="A4" s="62">
        <v>52</v>
      </c>
      <c r="B4" s="56">
        <v>57.2</v>
      </c>
      <c r="C4" s="56">
        <v>86.9</v>
      </c>
      <c r="D4" s="56">
        <v>44.7</v>
      </c>
      <c r="E4" s="56">
        <v>66.650000000000006</v>
      </c>
    </row>
    <row r="5" spans="1:5">
      <c r="A5" s="62">
        <v>53</v>
      </c>
      <c r="B5" s="56">
        <v>59.35</v>
      </c>
      <c r="C5" s="56">
        <v>91.4</v>
      </c>
      <c r="D5" s="56">
        <v>46.15</v>
      </c>
      <c r="E5" s="56">
        <v>69.95</v>
      </c>
    </row>
    <row r="6" spans="1:5">
      <c r="A6" s="62">
        <v>54</v>
      </c>
      <c r="B6" s="56">
        <v>61.5</v>
      </c>
      <c r="C6" s="56">
        <v>95.9</v>
      </c>
      <c r="D6" s="56">
        <v>47.6</v>
      </c>
      <c r="E6" s="56">
        <v>73.25</v>
      </c>
    </row>
    <row r="7" spans="1:5">
      <c r="A7" s="62">
        <v>55</v>
      </c>
      <c r="B7" s="56">
        <v>63.65</v>
      </c>
      <c r="C7" s="56">
        <v>100.4</v>
      </c>
      <c r="D7" s="56">
        <v>49.05</v>
      </c>
      <c r="E7" s="56">
        <v>76.55</v>
      </c>
    </row>
    <row r="8" spans="1:5">
      <c r="A8" s="62">
        <v>56</v>
      </c>
      <c r="B8" s="56">
        <v>66.5</v>
      </c>
      <c r="C8" s="56">
        <v>104.45</v>
      </c>
      <c r="D8" s="56">
        <v>51.25</v>
      </c>
      <c r="E8" s="56">
        <v>80.05</v>
      </c>
    </row>
    <row r="9" spans="1:5">
      <c r="A9" s="62">
        <v>57</v>
      </c>
      <c r="B9" s="56">
        <v>69.349999999999994</v>
      </c>
      <c r="C9" s="56">
        <v>108.5</v>
      </c>
      <c r="D9" s="56">
        <v>53.45</v>
      </c>
      <c r="E9" s="56">
        <v>83.5</v>
      </c>
    </row>
    <row r="10" spans="1:5">
      <c r="A10" s="62">
        <v>58</v>
      </c>
      <c r="B10" s="56">
        <v>72.2</v>
      </c>
      <c r="C10" s="56">
        <v>112.55</v>
      </c>
      <c r="D10" s="56">
        <v>55.65</v>
      </c>
      <c r="E10" s="56">
        <v>86.95</v>
      </c>
    </row>
    <row r="11" spans="1:5">
      <c r="A11" s="62">
        <v>59</v>
      </c>
      <c r="B11" s="56">
        <v>75.05</v>
      </c>
      <c r="C11" s="56">
        <v>116.6</v>
      </c>
      <c r="D11" s="56">
        <v>57.85</v>
      </c>
      <c r="E11" s="56">
        <v>90.45</v>
      </c>
    </row>
    <row r="12" spans="1:5">
      <c r="A12" s="62">
        <v>60</v>
      </c>
      <c r="B12" s="56">
        <v>77.900000000000006</v>
      </c>
      <c r="C12" s="56">
        <v>120.65</v>
      </c>
      <c r="D12" s="56">
        <v>60.05</v>
      </c>
      <c r="E12" s="56">
        <v>93.9</v>
      </c>
    </row>
    <row r="13" spans="1:5">
      <c r="A13" s="62">
        <v>61</v>
      </c>
      <c r="B13" s="56">
        <v>82.4</v>
      </c>
      <c r="C13" s="56">
        <v>126.75</v>
      </c>
      <c r="D13" s="56">
        <v>63.35</v>
      </c>
      <c r="E13" s="56">
        <v>99.15</v>
      </c>
    </row>
    <row r="14" spans="1:5">
      <c r="A14" s="62">
        <v>62</v>
      </c>
      <c r="B14" s="56">
        <v>86.9</v>
      </c>
      <c r="C14" s="56">
        <v>132.80000000000001</v>
      </c>
      <c r="D14" s="56">
        <v>66.650000000000006</v>
      </c>
      <c r="E14" s="56">
        <v>104.35</v>
      </c>
    </row>
    <row r="15" spans="1:5">
      <c r="A15" s="62">
        <v>63</v>
      </c>
      <c r="B15" s="56">
        <v>91.4</v>
      </c>
      <c r="C15" s="56">
        <v>138.85</v>
      </c>
      <c r="D15" s="56">
        <v>69.95</v>
      </c>
      <c r="E15" s="56">
        <v>109.6</v>
      </c>
    </row>
    <row r="16" spans="1:5">
      <c r="A16" s="62">
        <v>64</v>
      </c>
      <c r="B16" s="56">
        <v>95.9</v>
      </c>
      <c r="C16" s="56">
        <v>144.9</v>
      </c>
      <c r="D16" s="56">
        <v>73.25</v>
      </c>
      <c r="E16" s="56">
        <v>114.85</v>
      </c>
    </row>
    <row r="17" spans="1:5">
      <c r="A17" s="62">
        <v>65</v>
      </c>
      <c r="B17" s="56">
        <v>100.4</v>
      </c>
      <c r="C17" s="56">
        <v>150.94999999999999</v>
      </c>
      <c r="D17" s="56">
        <v>76.55</v>
      </c>
      <c r="E17" s="56">
        <v>120.05</v>
      </c>
    </row>
    <row r="18" spans="1:5">
      <c r="A18" s="62">
        <v>66</v>
      </c>
      <c r="B18" s="56">
        <v>108.5</v>
      </c>
      <c r="C18" s="56">
        <v>163.19999999999999</v>
      </c>
      <c r="D18" s="56">
        <v>83.5</v>
      </c>
      <c r="E18" s="56">
        <v>128.6</v>
      </c>
    </row>
    <row r="19" spans="1:5">
      <c r="A19" s="62">
        <v>67</v>
      </c>
      <c r="B19" s="56">
        <v>116.6</v>
      </c>
      <c r="C19" s="56">
        <v>175.45</v>
      </c>
      <c r="D19" s="56">
        <v>90.45</v>
      </c>
      <c r="E19" s="56">
        <v>137.15</v>
      </c>
    </row>
    <row r="20" spans="1:5">
      <c r="A20" s="62">
        <v>68</v>
      </c>
      <c r="B20" s="56">
        <v>124.7</v>
      </c>
      <c r="C20" s="56">
        <v>187.7</v>
      </c>
      <c r="D20" s="56">
        <v>97.4</v>
      </c>
      <c r="E20" s="56">
        <v>145.69999999999999</v>
      </c>
    </row>
    <row r="21" spans="1:5">
      <c r="A21" s="62">
        <v>69</v>
      </c>
      <c r="B21" s="56">
        <v>132.80000000000001</v>
      </c>
      <c r="C21" s="56">
        <v>199.95</v>
      </c>
      <c r="D21" s="56">
        <v>104.35</v>
      </c>
      <c r="E21" s="56">
        <v>154.25</v>
      </c>
    </row>
    <row r="22" spans="1:5">
      <c r="A22" s="62">
        <v>70</v>
      </c>
      <c r="B22" s="56">
        <v>140.9</v>
      </c>
      <c r="C22" s="56">
        <v>212.2</v>
      </c>
      <c r="D22" s="56">
        <v>111.3</v>
      </c>
      <c r="E22" s="56">
        <v>162.80000000000001</v>
      </c>
    </row>
    <row r="23" spans="1:5">
      <c r="A23" s="62">
        <v>71</v>
      </c>
      <c r="B23" s="56">
        <v>153.19999999999999</v>
      </c>
      <c r="C23" s="56">
        <v>229</v>
      </c>
      <c r="D23" s="56">
        <v>121.15</v>
      </c>
      <c r="E23" s="56">
        <v>177</v>
      </c>
    </row>
    <row r="24" spans="1:5">
      <c r="A24" s="62">
        <v>72</v>
      </c>
      <c r="B24" s="56">
        <v>165.5</v>
      </c>
      <c r="C24" s="56">
        <v>245.8</v>
      </c>
      <c r="D24" s="56">
        <v>131</v>
      </c>
      <c r="E24" s="56">
        <v>191.2</v>
      </c>
    </row>
    <row r="25" spans="1:5">
      <c r="A25" s="62">
        <v>73</v>
      </c>
      <c r="B25" s="56">
        <v>177.8</v>
      </c>
      <c r="C25" s="56">
        <v>262.60000000000002</v>
      </c>
      <c r="D25" s="56">
        <v>140.85</v>
      </c>
      <c r="E25" s="56">
        <v>205.4</v>
      </c>
    </row>
    <row r="26" spans="1:5">
      <c r="A26" s="62">
        <v>74</v>
      </c>
      <c r="B26" s="56">
        <v>190.1</v>
      </c>
      <c r="C26" s="56">
        <v>279.39999999999998</v>
      </c>
      <c r="D26" s="56">
        <v>150.69999999999999</v>
      </c>
      <c r="E26" s="56">
        <v>219.6</v>
      </c>
    </row>
    <row r="27" spans="1:5">
      <c r="A27" s="62">
        <v>75</v>
      </c>
      <c r="B27" s="56">
        <v>202.4</v>
      </c>
      <c r="C27" s="56">
        <v>296.2</v>
      </c>
      <c r="D27" s="56">
        <v>160.55000000000001</v>
      </c>
      <c r="E27" s="56">
        <v>233.8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7A92D-4A2B-432E-8B38-A72B72DFE94B}">
  <dimension ref="A1:C42"/>
  <sheetViews>
    <sheetView topLeftCell="A7" workbookViewId="0">
      <selection activeCell="B30" sqref="B30"/>
    </sheetView>
  </sheetViews>
  <sheetFormatPr defaultRowHeight="12"/>
  <cols>
    <col min="1" max="1" width="11.140625" style="8" customWidth="1"/>
    <col min="2" max="2" width="11.7109375" style="8" customWidth="1"/>
    <col min="3" max="3" width="13" style="8" customWidth="1"/>
    <col min="4" max="16384" width="9.140625" style="8"/>
  </cols>
  <sheetData>
    <row r="1" spans="1:3" s="18" customFormat="1">
      <c r="A1" s="18" t="s">
        <v>23</v>
      </c>
      <c r="B1" s="18" t="s">
        <v>29</v>
      </c>
      <c r="C1" s="18" t="s">
        <v>30</v>
      </c>
    </row>
    <row r="2" spans="1:3">
      <c r="A2" s="19">
        <v>45</v>
      </c>
      <c r="B2" s="20">
        <v>32.380000000000003</v>
      </c>
      <c r="C2" s="20">
        <v>30.03</v>
      </c>
    </row>
    <row r="3" spans="1:3">
      <c r="A3" s="21">
        <v>46</v>
      </c>
      <c r="B3" s="22">
        <v>33.630000000000003</v>
      </c>
      <c r="C3" s="22">
        <v>31.21</v>
      </c>
    </row>
    <row r="4" spans="1:3">
      <c r="A4" s="21">
        <v>47</v>
      </c>
      <c r="B4" s="22">
        <v>34.89</v>
      </c>
      <c r="C4" s="22">
        <v>32.39</v>
      </c>
    </row>
    <row r="5" spans="1:3">
      <c r="A5" s="21">
        <v>48</v>
      </c>
      <c r="B5" s="22">
        <v>36.24</v>
      </c>
      <c r="C5" s="22">
        <v>33.64</v>
      </c>
    </row>
    <row r="6" spans="1:3">
      <c r="A6" s="21">
        <v>49</v>
      </c>
      <c r="B6" s="22">
        <v>37.67</v>
      </c>
      <c r="C6" s="22">
        <v>34.9</v>
      </c>
    </row>
    <row r="7" spans="1:3">
      <c r="A7" s="21">
        <v>50</v>
      </c>
      <c r="B7" s="22">
        <v>39.11</v>
      </c>
      <c r="C7" s="22">
        <v>36.25</v>
      </c>
    </row>
    <row r="8" spans="1:3">
      <c r="A8" s="21">
        <v>51</v>
      </c>
      <c r="B8" s="22">
        <v>40.72</v>
      </c>
      <c r="C8" s="22">
        <v>37.68</v>
      </c>
    </row>
    <row r="9" spans="1:3">
      <c r="A9" s="21">
        <v>52</v>
      </c>
      <c r="B9" s="22">
        <v>42.74</v>
      </c>
      <c r="C9" s="22">
        <v>39.119999999999997</v>
      </c>
    </row>
    <row r="10" spans="1:3">
      <c r="A10" s="21">
        <v>53</v>
      </c>
      <c r="B10" s="22">
        <v>44.92</v>
      </c>
      <c r="C10" s="22">
        <v>40.630000000000003</v>
      </c>
    </row>
    <row r="11" spans="1:3">
      <c r="A11" s="21">
        <v>54</v>
      </c>
      <c r="B11" s="22">
        <v>47.21</v>
      </c>
      <c r="C11" s="22">
        <v>42.54</v>
      </c>
    </row>
    <row r="12" spans="1:3">
      <c r="A12" s="21">
        <v>55</v>
      </c>
      <c r="B12" s="22">
        <v>49.63</v>
      </c>
      <c r="C12" s="22">
        <v>44.61</v>
      </c>
    </row>
    <row r="13" spans="1:3">
      <c r="A13" s="21">
        <v>56</v>
      </c>
      <c r="B13" s="22">
        <v>52.39</v>
      </c>
      <c r="C13" s="22">
        <v>46.77</v>
      </c>
    </row>
    <row r="14" spans="1:3">
      <c r="A14" s="21">
        <v>57</v>
      </c>
      <c r="B14" s="22">
        <v>55.03</v>
      </c>
      <c r="C14" s="22">
        <v>49.05</v>
      </c>
    </row>
    <row r="15" spans="1:3">
      <c r="A15" s="21">
        <v>58</v>
      </c>
      <c r="B15" s="22">
        <v>57.78</v>
      </c>
      <c r="C15" s="22">
        <v>51.66</v>
      </c>
    </row>
    <row r="16" spans="1:3">
      <c r="A16" s="21">
        <v>59</v>
      </c>
      <c r="B16" s="22">
        <v>60.68</v>
      </c>
      <c r="C16" s="22">
        <v>54.13</v>
      </c>
    </row>
    <row r="17" spans="1:3">
      <c r="A17" s="21">
        <v>60</v>
      </c>
      <c r="B17" s="22">
        <v>63.71</v>
      </c>
      <c r="C17" s="22">
        <v>56.7</v>
      </c>
    </row>
    <row r="18" spans="1:3">
      <c r="A18" s="21">
        <v>61</v>
      </c>
      <c r="B18" s="22">
        <v>66.900000000000006</v>
      </c>
      <c r="C18" s="22">
        <v>59.41</v>
      </c>
    </row>
    <row r="19" spans="1:3">
      <c r="A19" s="21">
        <v>62</v>
      </c>
      <c r="B19" s="22">
        <v>70.25</v>
      </c>
      <c r="C19" s="22">
        <v>62.22</v>
      </c>
    </row>
    <row r="20" spans="1:3">
      <c r="A20" s="21">
        <v>63</v>
      </c>
      <c r="B20" s="22">
        <v>73.760000000000005</v>
      </c>
      <c r="C20" s="22">
        <v>65.180000000000007</v>
      </c>
    </row>
    <row r="21" spans="1:3">
      <c r="A21" s="21">
        <v>64</v>
      </c>
      <c r="B21" s="22">
        <v>77.459999999999994</v>
      </c>
      <c r="C21" s="22">
        <v>68.28</v>
      </c>
    </row>
    <row r="22" spans="1:3">
      <c r="A22" s="21">
        <v>65</v>
      </c>
      <c r="B22" s="22">
        <v>83.12</v>
      </c>
      <c r="C22" s="22">
        <v>72.040000000000006</v>
      </c>
    </row>
    <row r="23" spans="1:3">
      <c r="A23" s="23">
        <v>66</v>
      </c>
      <c r="B23" s="20">
        <v>89.2</v>
      </c>
      <c r="C23" s="20">
        <v>76.36</v>
      </c>
    </row>
    <row r="24" spans="1:3">
      <c r="A24" s="24">
        <v>67</v>
      </c>
      <c r="B24" s="22">
        <v>95.72</v>
      </c>
      <c r="C24" s="22">
        <v>80.94</v>
      </c>
    </row>
    <row r="25" spans="1:3">
      <c r="A25" s="24">
        <v>68</v>
      </c>
      <c r="B25" s="22">
        <v>102.72</v>
      </c>
      <c r="C25" s="22">
        <v>85.8</v>
      </c>
    </row>
    <row r="26" spans="1:3">
      <c r="A26" s="24">
        <v>69</v>
      </c>
      <c r="B26" s="22">
        <v>110.22</v>
      </c>
      <c r="C26" s="22">
        <v>90.94</v>
      </c>
    </row>
    <row r="27" spans="1:3">
      <c r="A27" s="24">
        <v>70</v>
      </c>
      <c r="B27" s="22">
        <v>118.28</v>
      </c>
      <c r="C27" s="22">
        <v>96.4</v>
      </c>
    </row>
    <row r="28" spans="1:3">
      <c r="A28" s="24">
        <v>71</v>
      </c>
      <c r="B28" s="22">
        <v>126.93</v>
      </c>
      <c r="C28" s="22">
        <v>102.18</v>
      </c>
    </row>
    <row r="29" spans="1:3">
      <c r="A29" s="24">
        <v>72</v>
      </c>
      <c r="B29" s="22">
        <v>136.21</v>
      </c>
      <c r="C29" s="22">
        <v>108.31</v>
      </c>
    </row>
    <row r="30" spans="1:3">
      <c r="A30" s="24">
        <v>73</v>
      </c>
      <c r="B30" s="22">
        <v>146.16999999999999</v>
      </c>
      <c r="C30" s="22">
        <v>114.81</v>
      </c>
    </row>
    <row r="31" spans="1:3">
      <c r="A31" s="24">
        <v>74</v>
      </c>
      <c r="B31" s="22">
        <v>156.85</v>
      </c>
      <c r="C31" s="22">
        <v>121.7</v>
      </c>
    </row>
    <row r="32" spans="1:3">
      <c r="A32" s="24">
        <v>75</v>
      </c>
      <c r="B32" s="22">
        <v>168.32</v>
      </c>
      <c r="C32" s="22">
        <v>129</v>
      </c>
    </row>
    <row r="33" spans="1:3">
      <c r="A33" s="24">
        <v>76</v>
      </c>
      <c r="B33" s="22">
        <v>180.62</v>
      </c>
      <c r="C33" s="22">
        <v>136.74</v>
      </c>
    </row>
    <row r="34" spans="1:3">
      <c r="A34" s="24">
        <v>77</v>
      </c>
      <c r="B34" s="22">
        <v>193.83</v>
      </c>
      <c r="C34" s="22">
        <v>144.94999999999999</v>
      </c>
    </row>
    <row r="35" spans="1:3">
      <c r="A35" s="24">
        <v>78</v>
      </c>
      <c r="B35" s="22">
        <v>208</v>
      </c>
      <c r="C35" s="22">
        <v>153.65</v>
      </c>
    </row>
    <row r="36" spans="1:3">
      <c r="A36" s="24">
        <v>79</v>
      </c>
      <c r="B36" s="22">
        <v>223.08</v>
      </c>
      <c r="C36" s="22">
        <v>164.4</v>
      </c>
    </row>
    <row r="37" spans="1:3">
      <c r="A37" s="24">
        <v>80</v>
      </c>
      <c r="B37" s="22">
        <v>239.25</v>
      </c>
      <c r="C37" s="22">
        <v>175.91</v>
      </c>
    </row>
    <row r="38" spans="1:3">
      <c r="A38" s="24">
        <v>81</v>
      </c>
      <c r="B38" s="22">
        <v>256.60000000000002</v>
      </c>
      <c r="C38" s="22">
        <v>188.22</v>
      </c>
    </row>
    <row r="39" spans="1:3">
      <c r="A39" s="24">
        <v>82</v>
      </c>
      <c r="B39" s="22">
        <v>275.2</v>
      </c>
      <c r="C39" s="22">
        <v>201.4</v>
      </c>
    </row>
    <row r="40" spans="1:3">
      <c r="A40" s="24">
        <v>83</v>
      </c>
      <c r="B40" s="22">
        <v>295.14999999999998</v>
      </c>
      <c r="C40" s="22">
        <v>215.5</v>
      </c>
    </row>
    <row r="41" spans="1:3">
      <c r="A41" s="24">
        <v>84</v>
      </c>
      <c r="B41" s="22">
        <v>316.55</v>
      </c>
      <c r="C41" s="22">
        <v>230.58</v>
      </c>
    </row>
    <row r="42" spans="1:3">
      <c r="A42" s="24">
        <v>85</v>
      </c>
      <c r="B42" s="22">
        <v>339.5</v>
      </c>
      <c r="C42" s="22">
        <v>246.72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460BD-CDC0-4D48-A2F4-CB6A0844A601}">
  <dimension ref="A1:D47"/>
  <sheetViews>
    <sheetView workbookViewId="0">
      <selection activeCell="B35" sqref="B35"/>
    </sheetView>
  </sheetViews>
  <sheetFormatPr defaultRowHeight="15"/>
  <cols>
    <col min="2" max="2" width="16.28515625" customWidth="1"/>
    <col min="3" max="3" width="14.85546875" customWidth="1"/>
  </cols>
  <sheetData>
    <row r="1" spans="1:4">
      <c r="A1" s="59" t="s">
        <v>23</v>
      </c>
      <c r="B1" s="59" t="s">
        <v>35</v>
      </c>
      <c r="C1" s="59" t="s">
        <v>30</v>
      </c>
      <c r="D1" t="s">
        <v>36</v>
      </c>
    </row>
    <row r="2" spans="1:4">
      <c r="A2" s="46">
        <v>40</v>
      </c>
      <c r="B2" s="47">
        <v>62.7</v>
      </c>
      <c r="C2" s="47">
        <v>59.4</v>
      </c>
    </row>
    <row r="3" spans="1:4">
      <c r="A3" s="48">
        <v>41</v>
      </c>
      <c r="B3" s="49">
        <v>63.04</v>
      </c>
      <c r="C3" s="49">
        <v>59.76</v>
      </c>
    </row>
    <row r="4" spans="1:4">
      <c r="A4" s="48">
        <v>42</v>
      </c>
      <c r="B4" s="49">
        <v>63.38</v>
      </c>
      <c r="C4" s="49">
        <v>60.12</v>
      </c>
    </row>
    <row r="5" spans="1:4">
      <c r="A5" s="48">
        <v>43</v>
      </c>
      <c r="B5" s="49">
        <v>63.72</v>
      </c>
      <c r="C5" s="49">
        <v>60.48</v>
      </c>
    </row>
    <row r="6" spans="1:4">
      <c r="A6" s="48">
        <v>44</v>
      </c>
      <c r="B6" s="49">
        <v>64.06</v>
      </c>
      <c r="C6" s="49">
        <v>60.84</v>
      </c>
    </row>
    <row r="7" spans="1:4">
      <c r="A7" s="48">
        <v>45</v>
      </c>
      <c r="B7" s="49">
        <v>64.400000000000006</v>
      </c>
      <c r="C7" s="49">
        <v>61.2</v>
      </c>
    </row>
    <row r="8" spans="1:4">
      <c r="A8" s="48">
        <v>46</v>
      </c>
      <c r="B8" s="49">
        <v>64.739999999999995</v>
      </c>
      <c r="C8" s="49">
        <v>61.56</v>
      </c>
    </row>
    <row r="9" spans="1:4">
      <c r="A9" s="48">
        <v>47</v>
      </c>
      <c r="B9" s="49">
        <v>65.08</v>
      </c>
      <c r="C9" s="49">
        <v>61.92</v>
      </c>
    </row>
    <row r="10" spans="1:4">
      <c r="A10" s="48">
        <v>48</v>
      </c>
      <c r="B10" s="49">
        <v>65.42</v>
      </c>
      <c r="C10" s="49">
        <v>62.28</v>
      </c>
    </row>
    <row r="11" spans="1:4">
      <c r="A11" s="48">
        <v>49</v>
      </c>
      <c r="B11" s="49">
        <v>65.760000000000005</v>
      </c>
      <c r="C11" s="49">
        <v>62.64</v>
      </c>
    </row>
    <row r="12" spans="1:4">
      <c r="A12" s="48">
        <v>50</v>
      </c>
      <c r="B12" s="49">
        <v>66.09</v>
      </c>
      <c r="C12" s="49">
        <v>63</v>
      </c>
    </row>
    <row r="13" spans="1:4">
      <c r="A13" s="48">
        <v>51</v>
      </c>
      <c r="B13" s="49">
        <v>66.430000000000007</v>
      </c>
      <c r="C13" s="49">
        <v>63.36</v>
      </c>
    </row>
    <row r="14" spans="1:4">
      <c r="A14" s="48">
        <v>52</v>
      </c>
      <c r="B14" s="49">
        <v>66.77</v>
      </c>
      <c r="C14" s="49">
        <v>63.72</v>
      </c>
    </row>
    <row r="15" spans="1:4">
      <c r="A15" s="48">
        <v>53</v>
      </c>
      <c r="B15" s="49">
        <v>67.11</v>
      </c>
      <c r="C15" s="49">
        <v>64.08</v>
      </c>
    </row>
    <row r="16" spans="1:4">
      <c r="A16" s="48">
        <v>54</v>
      </c>
      <c r="B16" s="49">
        <v>67.45</v>
      </c>
      <c r="C16" s="49">
        <v>64.44</v>
      </c>
    </row>
    <row r="17" spans="1:3">
      <c r="A17" s="48">
        <v>55</v>
      </c>
      <c r="B17" s="49">
        <v>67.790000000000006</v>
      </c>
      <c r="C17" s="49">
        <v>64.8</v>
      </c>
    </row>
    <row r="18" spans="1:3">
      <c r="A18" s="48">
        <v>56</v>
      </c>
      <c r="B18" s="49">
        <v>72.84</v>
      </c>
      <c r="C18" s="49">
        <v>69.41</v>
      </c>
    </row>
    <row r="19" spans="1:3">
      <c r="A19" s="48">
        <v>57</v>
      </c>
      <c r="B19" s="49">
        <v>78.25</v>
      </c>
      <c r="C19" s="49">
        <v>74.349999999999994</v>
      </c>
    </row>
    <row r="20" spans="1:3">
      <c r="A20" s="48">
        <v>58</v>
      </c>
      <c r="B20" s="49">
        <v>84.07</v>
      </c>
      <c r="C20" s="49">
        <v>79.64</v>
      </c>
    </row>
    <row r="21" spans="1:3">
      <c r="A21" s="48">
        <v>59</v>
      </c>
      <c r="B21" s="49">
        <v>90.32</v>
      </c>
      <c r="C21" s="49">
        <v>85.3</v>
      </c>
    </row>
    <row r="22" spans="1:3">
      <c r="A22" s="48">
        <v>60</v>
      </c>
      <c r="B22" s="49">
        <v>97.04</v>
      </c>
      <c r="C22" s="49">
        <v>91.37</v>
      </c>
    </row>
    <row r="23" spans="1:3">
      <c r="A23" s="48">
        <v>61</v>
      </c>
      <c r="B23" s="49">
        <v>104.26</v>
      </c>
      <c r="C23" s="49">
        <v>97.87</v>
      </c>
    </row>
    <row r="24" spans="1:3">
      <c r="A24" s="48">
        <v>62</v>
      </c>
      <c r="B24" s="49">
        <v>112.01</v>
      </c>
      <c r="C24" s="49">
        <v>104.84</v>
      </c>
    </row>
    <row r="25" spans="1:3">
      <c r="A25" s="69">
        <v>63</v>
      </c>
      <c r="B25" s="47">
        <v>120.34</v>
      </c>
      <c r="C25" s="47">
        <v>112.3</v>
      </c>
    </row>
    <row r="26" spans="1:3">
      <c r="A26" s="70">
        <v>64</v>
      </c>
      <c r="B26" s="49">
        <v>129.29</v>
      </c>
      <c r="C26" s="49">
        <v>120.29</v>
      </c>
    </row>
    <row r="27" spans="1:3">
      <c r="A27" s="70">
        <v>65</v>
      </c>
      <c r="B27" s="49">
        <v>138.91</v>
      </c>
      <c r="C27" s="49">
        <v>128.85</v>
      </c>
    </row>
    <row r="28" spans="1:3">
      <c r="A28" s="70">
        <v>66</v>
      </c>
      <c r="B28" s="49">
        <v>149.24</v>
      </c>
      <c r="C28" s="49">
        <v>138.01</v>
      </c>
    </row>
    <row r="29" spans="1:3">
      <c r="A29" s="70">
        <v>67</v>
      </c>
      <c r="B29" s="49">
        <v>160.33000000000001</v>
      </c>
      <c r="C29" s="49">
        <v>147.83000000000001</v>
      </c>
    </row>
    <row r="30" spans="1:3">
      <c r="A30" s="70">
        <v>68</v>
      </c>
      <c r="B30" s="49">
        <v>172.26</v>
      </c>
      <c r="C30" s="49">
        <v>158.35</v>
      </c>
    </row>
    <row r="31" spans="1:3">
      <c r="A31" s="70">
        <v>69</v>
      </c>
      <c r="B31" s="49">
        <v>185.07</v>
      </c>
      <c r="C31" s="49">
        <v>169.62</v>
      </c>
    </row>
    <row r="32" spans="1:3">
      <c r="A32" s="70">
        <v>70</v>
      </c>
      <c r="B32" s="49">
        <v>198.83</v>
      </c>
      <c r="C32" s="49">
        <v>181.68</v>
      </c>
    </row>
    <row r="33" spans="1:3">
      <c r="A33" s="70">
        <v>71</v>
      </c>
      <c r="B33" s="49">
        <v>204.62</v>
      </c>
      <c r="C33" s="49">
        <v>190.86</v>
      </c>
    </row>
    <row r="34" spans="1:3">
      <c r="A34" s="70">
        <v>72</v>
      </c>
      <c r="B34" s="49">
        <v>210.42</v>
      </c>
      <c r="C34" s="49">
        <v>200.04</v>
      </c>
    </row>
    <row r="35" spans="1:3">
      <c r="A35" s="70">
        <v>73</v>
      </c>
      <c r="B35" s="49">
        <v>216.21</v>
      </c>
      <c r="C35" s="49">
        <v>209.22</v>
      </c>
    </row>
    <row r="36" spans="1:3">
      <c r="A36" s="70">
        <v>74</v>
      </c>
      <c r="B36" s="49">
        <v>222</v>
      </c>
      <c r="C36" s="49">
        <v>218.4</v>
      </c>
    </row>
    <row r="37" spans="1:3">
      <c r="A37" s="70">
        <v>75</v>
      </c>
      <c r="B37" s="49">
        <v>232.83</v>
      </c>
      <c r="C37" s="49">
        <v>229.05</v>
      </c>
    </row>
    <row r="38" spans="1:3">
      <c r="A38" s="70">
        <v>76</v>
      </c>
      <c r="B38" s="49">
        <v>244.58</v>
      </c>
      <c r="C38" s="49">
        <v>240.61</v>
      </c>
    </row>
    <row r="39" spans="1:3">
      <c r="A39" s="70">
        <v>77</v>
      </c>
      <c r="B39" s="49">
        <v>257.27</v>
      </c>
      <c r="C39" s="49">
        <v>253.1</v>
      </c>
    </row>
    <row r="40" spans="1:3">
      <c r="A40" s="70">
        <v>78</v>
      </c>
      <c r="B40" s="49">
        <v>270.89</v>
      </c>
      <c r="C40" s="49">
        <v>266.5</v>
      </c>
    </row>
    <row r="41" spans="1:3">
      <c r="A41" s="70">
        <v>79</v>
      </c>
      <c r="B41" s="49">
        <v>284.86</v>
      </c>
      <c r="C41" s="49">
        <v>280.23</v>
      </c>
    </row>
    <row r="42" spans="1:3">
      <c r="A42" s="70">
        <v>80</v>
      </c>
      <c r="B42" s="49">
        <v>299.07</v>
      </c>
      <c r="C42" s="49">
        <v>294.20999999999998</v>
      </c>
    </row>
    <row r="43" spans="1:3">
      <c r="A43" s="70">
        <v>81</v>
      </c>
      <c r="B43" s="49">
        <v>318.97000000000003</v>
      </c>
      <c r="C43" s="49">
        <v>318.97000000000003</v>
      </c>
    </row>
    <row r="44" spans="1:3">
      <c r="A44" s="70">
        <v>82</v>
      </c>
      <c r="B44" s="49">
        <v>338.76</v>
      </c>
      <c r="C44" s="49">
        <v>338.76</v>
      </c>
    </row>
    <row r="45" spans="1:3">
      <c r="A45" s="70">
        <v>83</v>
      </c>
      <c r="B45" s="49">
        <v>358.55</v>
      </c>
      <c r="C45" s="49">
        <v>358.55</v>
      </c>
    </row>
    <row r="46" spans="1:3">
      <c r="A46" s="70">
        <v>84</v>
      </c>
      <c r="B46" s="49">
        <v>378.34</v>
      </c>
      <c r="C46" s="49">
        <v>378.34</v>
      </c>
    </row>
    <row r="47" spans="1:3">
      <c r="A47" s="70">
        <v>85</v>
      </c>
      <c r="B47" s="49">
        <v>397.67</v>
      </c>
      <c r="C47" s="49">
        <v>397.67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329F9-1BDF-47D5-8077-303E48D21690}">
  <dimension ref="A1:G52"/>
  <sheetViews>
    <sheetView topLeftCell="A26" workbookViewId="0">
      <selection activeCell="B35" sqref="B35"/>
    </sheetView>
  </sheetViews>
  <sheetFormatPr defaultRowHeight="12"/>
  <cols>
    <col min="1" max="1" width="8.140625" style="8" customWidth="1"/>
    <col min="2" max="2" width="12" style="8" customWidth="1"/>
    <col min="3" max="3" width="14.7109375" style="8" customWidth="1"/>
    <col min="4" max="16384" width="9.140625" style="8"/>
  </cols>
  <sheetData>
    <row r="1" spans="1:7">
      <c r="A1" s="10" t="s">
        <v>23</v>
      </c>
      <c r="B1" s="11" t="s">
        <v>29</v>
      </c>
      <c r="C1" s="12" t="s">
        <v>30</v>
      </c>
      <c r="D1" s="13"/>
      <c r="E1" s="13"/>
      <c r="F1" s="13"/>
      <c r="G1" s="13"/>
    </row>
    <row r="2" spans="1:7">
      <c r="A2" s="14">
        <v>40</v>
      </c>
      <c r="B2" s="15">
        <v>55</v>
      </c>
      <c r="C2" s="15">
        <v>40</v>
      </c>
    </row>
    <row r="3" spans="1:7">
      <c r="A3" s="14">
        <v>41</v>
      </c>
      <c r="B3" s="15">
        <v>56</v>
      </c>
      <c r="C3" s="15">
        <v>40</v>
      </c>
    </row>
    <row r="4" spans="1:7">
      <c r="A4" s="14">
        <v>42</v>
      </c>
      <c r="B4" s="15">
        <v>57</v>
      </c>
      <c r="C4" s="15">
        <v>40</v>
      </c>
    </row>
    <row r="5" spans="1:7">
      <c r="A5" s="14">
        <v>43</v>
      </c>
      <c r="B5" s="15">
        <v>58</v>
      </c>
      <c r="C5" s="15">
        <v>40</v>
      </c>
    </row>
    <row r="6" spans="1:7">
      <c r="A6" s="14">
        <v>44</v>
      </c>
      <c r="B6" s="15">
        <v>59</v>
      </c>
      <c r="C6" s="15">
        <v>40</v>
      </c>
    </row>
    <row r="7" spans="1:7">
      <c r="A7" s="14">
        <v>45</v>
      </c>
      <c r="B7" s="15">
        <v>60</v>
      </c>
      <c r="C7" s="15">
        <v>40</v>
      </c>
    </row>
    <row r="8" spans="1:7">
      <c r="A8" s="14">
        <v>46</v>
      </c>
      <c r="B8" s="15">
        <v>60</v>
      </c>
      <c r="C8" s="15">
        <v>40</v>
      </c>
    </row>
    <row r="9" spans="1:7">
      <c r="A9" s="14">
        <v>47</v>
      </c>
      <c r="B9" s="15">
        <v>60</v>
      </c>
      <c r="C9" s="15">
        <v>40</v>
      </c>
    </row>
    <row r="10" spans="1:7">
      <c r="A10" s="14">
        <v>48</v>
      </c>
      <c r="B10" s="15">
        <v>60</v>
      </c>
      <c r="C10" s="15">
        <v>40</v>
      </c>
    </row>
    <row r="11" spans="1:7">
      <c r="A11" s="14">
        <v>49</v>
      </c>
      <c r="B11" s="15">
        <v>60</v>
      </c>
      <c r="C11" s="15">
        <v>40</v>
      </c>
    </row>
    <row r="12" spans="1:7">
      <c r="A12" s="14">
        <v>50</v>
      </c>
      <c r="B12" s="15">
        <v>61</v>
      </c>
      <c r="C12" s="15">
        <v>41</v>
      </c>
    </row>
    <row r="13" spans="1:7">
      <c r="A13" s="14">
        <v>51</v>
      </c>
      <c r="B13" s="15">
        <v>62</v>
      </c>
      <c r="C13" s="15">
        <v>42</v>
      </c>
    </row>
    <row r="14" spans="1:7">
      <c r="A14" s="14">
        <v>52</v>
      </c>
      <c r="B14" s="15">
        <v>63</v>
      </c>
      <c r="C14" s="15">
        <v>44</v>
      </c>
    </row>
    <row r="15" spans="1:7">
      <c r="A15" s="14">
        <v>53</v>
      </c>
      <c r="B15" s="15">
        <v>64</v>
      </c>
      <c r="C15" s="15">
        <v>46</v>
      </c>
    </row>
    <row r="16" spans="1:7">
      <c r="A16" s="14">
        <v>54</v>
      </c>
      <c r="B16" s="15">
        <v>65</v>
      </c>
      <c r="C16" s="15">
        <v>49</v>
      </c>
    </row>
    <row r="17" spans="1:3">
      <c r="A17" s="14">
        <v>55</v>
      </c>
      <c r="B17" s="15">
        <v>67</v>
      </c>
      <c r="C17" s="15">
        <v>51</v>
      </c>
    </row>
    <row r="18" spans="1:3">
      <c r="A18" s="14">
        <v>56</v>
      </c>
      <c r="B18" s="15">
        <v>70</v>
      </c>
      <c r="C18" s="15">
        <v>53</v>
      </c>
    </row>
    <row r="19" spans="1:3">
      <c r="A19" s="14">
        <v>57</v>
      </c>
      <c r="B19" s="15">
        <v>72</v>
      </c>
      <c r="C19" s="15">
        <v>55</v>
      </c>
    </row>
    <row r="20" spans="1:3">
      <c r="A20" s="14">
        <v>58</v>
      </c>
      <c r="B20" s="15">
        <v>73</v>
      </c>
      <c r="C20" s="15">
        <v>56</v>
      </c>
    </row>
    <row r="21" spans="1:3">
      <c r="A21" s="14">
        <v>59</v>
      </c>
      <c r="B21" s="15">
        <v>75</v>
      </c>
      <c r="C21" s="15">
        <v>58</v>
      </c>
    </row>
    <row r="22" spans="1:3">
      <c r="A22" s="14">
        <v>60</v>
      </c>
      <c r="B22" s="15">
        <v>78</v>
      </c>
      <c r="C22" s="15">
        <v>60</v>
      </c>
    </row>
    <row r="23" spans="1:3">
      <c r="A23" s="14">
        <v>61</v>
      </c>
      <c r="B23" s="15">
        <v>81</v>
      </c>
      <c r="C23" s="15">
        <v>63</v>
      </c>
    </row>
    <row r="24" spans="1:3">
      <c r="A24" s="14">
        <v>62</v>
      </c>
      <c r="B24" s="15">
        <v>86</v>
      </c>
      <c r="C24" s="15">
        <v>66</v>
      </c>
    </row>
    <row r="25" spans="1:3">
      <c r="A25" s="14">
        <v>63</v>
      </c>
      <c r="B25" s="15">
        <v>90</v>
      </c>
      <c r="C25" s="15">
        <v>70</v>
      </c>
    </row>
    <row r="26" spans="1:3">
      <c r="A26" s="14">
        <v>64</v>
      </c>
      <c r="B26" s="15">
        <v>95</v>
      </c>
      <c r="C26" s="15">
        <v>72</v>
      </c>
    </row>
    <row r="27" spans="1:3">
      <c r="A27" s="14">
        <v>65</v>
      </c>
      <c r="B27" s="15">
        <v>100</v>
      </c>
      <c r="C27" s="15">
        <v>73</v>
      </c>
    </row>
    <row r="28" spans="1:3">
      <c r="A28" s="16">
        <v>66</v>
      </c>
      <c r="B28" s="15">
        <v>104</v>
      </c>
      <c r="C28" s="15">
        <v>77</v>
      </c>
    </row>
    <row r="29" spans="1:3">
      <c r="A29" s="16">
        <v>67</v>
      </c>
      <c r="B29" s="15">
        <v>108</v>
      </c>
      <c r="C29" s="15">
        <v>80</v>
      </c>
    </row>
    <row r="30" spans="1:3">
      <c r="A30" s="16">
        <v>68</v>
      </c>
      <c r="B30" s="15">
        <v>112</v>
      </c>
      <c r="C30" s="15">
        <v>83</v>
      </c>
    </row>
    <row r="31" spans="1:3">
      <c r="A31" s="16">
        <v>69</v>
      </c>
      <c r="B31" s="15">
        <v>116</v>
      </c>
      <c r="C31" s="15">
        <v>86</v>
      </c>
    </row>
    <row r="32" spans="1:3">
      <c r="A32" s="16">
        <v>70</v>
      </c>
      <c r="B32" s="15">
        <v>120</v>
      </c>
      <c r="C32" s="15">
        <v>90</v>
      </c>
    </row>
    <row r="33" spans="1:3">
      <c r="A33" s="16">
        <v>71</v>
      </c>
      <c r="B33" s="15">
        <v>132</v>
      </c>
      <c r="C33" s="15">
        <v>98</v>
      </c>
    </row>
    <row r="34" spans="1:3">
      <c r="A34" s="16">
        <v>72</v>
      </c>
      <c r="B34" s="15">
        <v>142</v>
      </c>
      <c r="C34" s="15">
        <v>107</v>
      </c>
    </row>
    <row r="35" spans="1:3">
      <c r="A35" s="16">
        <v>73</v>
      </c>
      <c r="B35" s="15">
        <v>152</v>
      </c>
      <c r="C35" s="15">
        <v>115</v>
      </c>
    </row>
    <row r="36" spans="1:3">
      <c r="A36" s="16">
        <v>74</v>
      </c>
      <c r="B36" s="15">
        <v>162</v>
      </c>
      <c r="C36" s="15">
        <v>124</v>
      </c>
    </row>
    <row r="37" spans="1:3">
      <c r="A37" s="16">
        <v>75</v>
      </c>
      <c r="B37" s="15">
        <v>172</v>
      </c>
      <c r="C37" s="15">
        <v>132</v>
      </c>
    </row>
    <row r="38" spans="1:3">
      <c r="A38" s="16">
        <v>76</v>
      </c>
      <c r="B38" s="15">
        <v>200</v>
      </c>
      <c r="C38" s="15">
        <v>150</v>
      </c>
    </row>
    <row r="39" spans="1:3">
      <c r="A39" s="16">
        <v>77</v>
      </c>
      <c r="B39" s="15">
        <v>225</v>
      </c>
      <c r="C39" s="15">
        <v>170</v>
      </c>
    </row>
    <row r="40" spans="1:3">
      <c r="A40" s="16">
        <v>78</v>
      </c>
      <c r="B40" s="15">
        <v>250</v>
      </c>
      <c r="C40" s="15">
        <v>190</v>
      </c>
    </row>
    <row r="41" spans="1:3">
      <c r="A41" s="16">
        <v>79</v>
      </c>
      <c r="B41" s="15">
        <v>275</v>
      </c>
      <c r="C41" s="15">
        <v>200</v>
      </c>
    </row>
    <row r="42" spans="1:3">
      <c r="A42" s="16">
        <v>80</v>
      </c>
      <c r="B42" s="15">
        <v>290</v>
      </c>
      <c r="C42" s="15">
        <v>210</v>
      </c>
    </row>
    <row r="43" spans="1:3">
      <c r="A43" s="16">
        <v>81</v>
      </c>
      <c r="B43" s="15">
        <v>300</v>
      </c>
      <c r="C43" s="15">
        <v>220</v>
      </c>
    </row>
    <row r="44" spans="1:3">
      <c r="A44" s="16">
        <v>82</v>
      </c>
      <c r="B44" s="15">
        <v>320</v>
      </c>
      <c r="C44" s="15">
        <v>230</v>
      </c>
    </row>
    <row r="45" spans="1:3">
      <c r="A45" s="16">
        <v>83</v>
      </c>
      <c r="B45" s="15">
        <v>340</v>
      </c>
      <c r="C45" s="15">
        <v>240</v>
      </c>
    </row>
    <row r="46" spans="1:3">
      <c r="A46" s="16">
        <v>84</v>
      </c>
      <c r="B46" s="15">
        <v>360</v>
      </c>
      <c r="C46" s="15">
        <v>250</v>
      </c>
    </row>
    <row r="47" spans="1:3">
      <c r="A47" s="16">
        <v>85</v>
      </c>
      <c r="B47" s="15">
        <v>375</v>
      </c>
      <c r="C47" s="15">
        <v>260</v>
      </c>
    </row>
    <row r="48" spans="1:3">
      <c r="A48" s="16">
        <v>86</v>
      </c>
      <c r="B48" s="15">
        <v>400</v>
      </c>
      <c r="C48" s="15">
        <v>280</v>
      </c>
    </row>
    <row r="49" spans="1:3">
      <c r="A49" s="16">
        <v>87</v>
      </c>
      <c r="B49" s="15">
        <v>420</v>
      </c>
      <c r="C49" s="15">
        <v>300</v>
      </c>
    </row>
    <row r="50" spans="1:3">
      <c r="A50" s="16">
        <v>88</v>
      </c>
      <c r="B50" s="15">
        <v>440</v>
      </c>
      <c r="C50" s="15">
        <v>330</v>
      </c>
    </row>
    <row r="51" spans="1:3">
      <c r="A51" s="16">
        <v>89</v>
      </c>
      <c r="B51" s="15">
        <v>450</v>
      </c>
      <c r="C51" s="15">
        <v>360</v>
      </c>
    </row>
    <row r="52" spans="1:3">
      <c r="A52" s="16">
        <v>90</v>
      </c>
      <c r="B52" s="15">
        <v>460</v>
      </c>
      <c r="C52" s="15">
        <v>400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F1C-63CC-4200-ACE1-7D453909AE77}">
  <dimension ref="A1:E69"/>
  <sheetViews>
    <sheetView workbookViewId="0">
      <selection activeCell="B57" sqref="B57"/>
    </sheetView>
  </sheetViews>
  <sheetFormatPr defaultRowHeight="13.5" customHeight="1"/>
  <cols>
    <col min="1" max="1" width="9.140625" style="9"/>
    <col min="2" max="2" width="16.140625" style="8" customWidth="1"/>
    <col min="3" max="4" width="16" style="8" customWidth="1"/>
    <col min="5" max="5" width="15.85546875" style="8" customWidth="1"/>
    <col min="6" max="16384" width="9.140625" style="8"/>
  </cols>
  <sheetData>
    <row r="1" spans="1:5" ht="13.5" customHeight="1">
      <c r="A1" s="33" t="s">
        <v>23</v>
      </c>
      <c r="B1" s="35" t="s">
        <v>24</v>
      </c>
      <c r="C1" s="35" t="s">
        <v>25</v>
      </c>
      <c r="D1" s="35" t="s">
        <v>26</v>
      </c>
      <c r="E1" s="34" t="s">
        <v>27</v>
      </c>
    </row>
    <row r="2" spans="1:5" ht="13.5" customHeight="1">
      <c r="A2" s="36">
        <v>18</v>
      </c>
      <c r="B2" s="5">
        <v>20.440000000000001</v>
      </c>
      <c r="C2" s="5">
        <v>24.37</v>
      </c>
      <c r="D2" s="5">
        <v>18.690000000000001</v>
      </c>
      <c r="E2" s="5">
        <v>19.25</v>
      </c>
    </row>
    <row r="3" spans="1:5" ht="13.5" customHeight="1">
      <c r="A3" s="37">
        <v>19</v>
      </c>
      <c r="B3" s="5">
        <v>20.73</v>
      </c>
      <c r="C3" s="5">
        <v>25.33</v>
      </c>
      <c r="D3" s="5">
        <v>19</v>
      </c>
      <c r="E3" s="5">
        <v>20.059999999999999</v>
      </c>
    </row>
    <row r="4" spans="1:5" ht="13.5" customHeight="1">
      <c r="A4" s="37">
        <v>20</v>
      </c>
      <c r="B4" s="5">
        <v>21.03</v>
      </c>
      <c r="C4" s="5">
        <v>26.31</v>
      </c>
      <c r="D4" s="5">
        <v>19.309999999999999</v>
      </c>
      <c r="E4" s="5">
        <v>20.89</v>
      </c>
    </row>
    <row r="5" spans="1:5" ht="13.5" customHeight="1">
      <c r="A5" s="37">
        <v>21</v>
      </c>
      <c r="B5" s="5">
        <v>21.63</v>
      </c>
      <c r="C5" s="5">
        <v>27.23</v>
      </c>
      <c r="D5" s="5">
        <v>19.5</v>
      </c>
      <c r="E5" s="5">
        <v>21.57</v>
      </c>
    </row>
    <row r="6" spans="1:5" ht="13.5" customHeight="1">
      <c r="A6" s="37">
        <v>22</v>
      </c>
      <c r="B6" s="5">
        <v>22.25</v>
      </c>
      <c r="C6" s="5">
        <v>28.17</v>
      </c>
      <c r="D6" s="5">
        <v>19.690000000000001</v>
      </c>
      <c r="E6" s="5">
        <v>22.27</v>
      </c>
    </row>
    <row r="7" spans="1:5" ht="13.5" customHeight="1">
      <c r="A7" s="37">
        <v>23</v>
      </c>
      <c r="B7" s="5">
        <v>22.88</v>
      </c>
      <c r="C7" s="5">
        <v>29.15</v>
      </c>
      <c r="D7" s="5">
        <v>19.89</v>
      </c>
      <c r="E7" s="5">
        <v>22.99</v>
      </c>
    </row>
    <row r="8" spans="1:5" ht="13.5" customHeight="1">
      <c r="A8" s="37">
        <v>24</v>
      </c>
      <c r="B8" s="5">
        <v>23.53</v>
      </c>
      <c r="C8" s="5">
        <v>30.17</v>
      </c>
      <c r="D8" s="5">
        <v>20.079999999999998</v>
      </c>
      <c r="E8" s="5">
        <v>23.74</v>
      </c>
    </row>
    <row r="9" spans="1:5" ht="13.5" customHeight="1">
      <c r="A9" s="37">
        <v>25</v>
      </c>
      <c r="B9" s="5">
        <v>24.2</v>
      </c>
      <c r="C9" s="5">
        <v>31.22</v>
      </c>
      <c r="D9" s="5">
        <v>20.28</v>
      </c>
      <c r="E9" s="5">
        <v>24.51</v>
      </c>
    </row>
    <row r="10" spans="1:5" ht="13.5" customHeight="1">
      <c r="A10" s="37">
        <v>26</v>
      </c>
      <c r="B10" s="5">
        <v>24.03</v>
      </c>
      <c r="C10" s="5">
        <v>31.19</v>
      </c>
      <c r="D10" s="5">
        <v>20.32</v>
      </c>
      <c r="E10" s="5">
        <v>24.97</v>
      </c>
    </row>
    <row r="11" spans="1:5" ht="13.5" customHeight="1">
      <c r="A11" s="37">
        <v>27</v>
      </c>
      <c r="B11" s="5">
        <v>23.87</v>
      </c>
      <c r="C11" s="5">
        <v>31.16</v>
      </c>
      <c r="D11" s="5">
        <v>20.36</v>
      </c>
      <c r="E11" s="5">
        <v>25.44</v>
      </c>
    </row>
    <row r="12" spans="1:5" ht="13.5" customHeight="1">
      <c r="A12" s="37">
        <v>28</v>
      </c>
      <c r="B12" s="5">
        <v>23.7</v>
      </c>
      <c r="C12" s="5">
        <v>31.14</v>
      </c>
      <c r="D12" s="5">
        <v>20.399999999999999</v>
      </c>
      <c r="E12" s="5">
        <v>25.91</v>
      </c>
    </row>
    <row r="13" spans="1:5" ht="13.5" customHeight="1">
      <c r="A13" s="37">
        <v>29</v>
      </c>
      <c r="B13" s="5">
        <v>23.53</v>
      </c>
      <c r="C13" s="5">
        <v>31.11</v>
      </c>
      <c r="D13" s="5">
        <v>20.45</v>
      </c>
      <c r="E13" s="5">
        <v>26.4</v>
      </c>
    </row>
    <row r="14" spans="1:5" ht="13.5" customHeight="1">
      <c r="A14" s="37">
        <v>30</v>
      </c>
      <c r="B14" s="5">
        <v>23.37</v>
      </c>
      <c r="C14" s="5">
        <v>31.09</v>
      </c>
      <c r="D14" s="5">
        <v>20.49</v>
      </c>
      <c r="E14" s="5">
        <v>26.9</v>
      </c>
    </row>
    <row r="15" spans="1:5" ht="13.5" customHeight="1">
      <c r="A15" s="37">
        <v>31</v>
      </c>
      <c r="B15" s="5">
        <v>23.61</v>
      </c>
      <c r="C15" s="5">
        <v>31.85</v>
      </c>
      <c r="D15" s="5">
        <v>20.53</v>
      </c>
      <c r="E15" s="5">
        <v>27</v>
      </c>
    </row>
    <row r="16" spans="1:5" ht="13.5" customHeight="1">
      <c r="A16" s="37">
        <v>32</v>
      </c>
      <c r="B16" s="5">
        <v>23.86</v>
      </c>
      <c r="C16" s="5">
        <v>32.64</v>
      </c>
      <c r="D16" s="5">
        <v>20.57</v>
      </c>
      <c r="E16" s="5">
        <v>27.1</v>
      </c>
    </row>
    <row r="17" spans="1:5" ht="13.5" customHeight="1">
      <c r="A17" s="37">
        <v>33</v>
      </c>
      <c r="B17" s="5">
        <v>24.11</v>
      </c>
      <c r="C17" s="5">
        <v>33.44</v>
      </c>
      <c r="D17" s="5">
        <v>20.61</v>
      </c>
      <c r="E17" s="5">
        <v>27.2</v>
      </c>
    </row>
    <row r="18" spans="1:5" ht="13.5" customHeight="1">
      <c r="A18" s="37">
        <v>34</v>
      </c>
      <c r="B18" s="5">
        <v>24.37</v>
      </c>
      <c r="C18" s="5">
        <v>34.270000000000003</v>
      </c>
      <c r="D18" s="5">
        <v>20.65</v>
      </c>
      <c r="E18" s="5">
        <v>27.3</v>
      </c>
    </row>
    <row r="19" spans="1:5" ht="13.5" customHeight="1">
      <c r="A19" s="37">
        <v>35</v>
      </c>
      <c r="B19" s="5">
        <v>24.62</v>
      </c>
      <c r="C19" s="5">
        <v>35.11</v>
      </c>
      <c r="D19" s="5">
        <v>20.69</v>
      </c>
      <c r="E19" s="5">
        <v>27.4</v>
      </c>
    </row>
    <row r="20" spans="1:5" ht="13.5" customHeight="1">
      <c r="A20" s="37">
        <v>36</v>
      </c>
      <c r="B20" s="5">
        <v>25.77</v>
      </c>
      <c r="C20" s="5">
        <v>36.96</v>
      </c>
      <c r="D20" s="5">
        <v>21.61</v>
      </c>
      <c r="E20" s="5">
        <v>28.73</v>
      </c>
    </row>
    <row r="21" spans="1:5" ht="13.5" customHeight="1">
      <c r="A21" s="37">
        <v>37</v>
      </c>
      <c r="B21" s="5">
        <v>26.98</v>
      </c>
      <c r="C21" s="5">
        <v>38.9</v>
      </c>
      <c r="D21" s="5">
        <v>22.58</v>
      </c>
      <c r="E21" s="5">
        <v>30.13</v>
      </c>
    </row>
    <row r="22" spans="1:5" ht="13.5" customHeight="1">
      <c r="A22" s="37">
        <v>38</v>
      </c>
      <c r="B22" s="5">
        <v>28.24</v>
      </c>
      <c r="C22" s="5">
        <v>40.94</v>
      </c>
      <c r="D22" s="5">
        <v>23.58</v>
      </c>
      <c r="E22" s="5">
        <v>31.59</v>
      </c>
    </row>
    <row r="23" spans="1:5" ht="13.5" customHeight="1">
      <c r="A23" s="37">
        <v>39</v>
      </c>
      <c r="B23" s="5">
        <v>29.56</v>
      </c>
      <c r="C23" s="5">
        <v>43.08</v>
      </c>
      <c r="D23" s="5">
        <v>24.63</v>
      </c>
      <c r="E23" s="5">
        <v>33.130000000000003</v>
      </c>
    </row>
    <row r="24" spans="1:5" ht="13.5" customHeight="1">
      <c r="A24" s="37">
        <v>40</v>
      </c>
      <c r="B24" s="5">
        <v>30.94</v>
      </c>
      <c r="C24" s="5">
        <v>45.34</v>
      </c>
      <c r="D24" s="5">
        <v>25.73</v>
      </c>
      <c r="E24" s="5">
        <v>34.74</v>
      </c>
    </row>
    <row r="25" spans="1:5" ht="13.5" customHeight="1">
      <c r="A25" s="37">
        <v>41</v>
      </c>
      <c r="B25" s="5">
        <v>32.380000000000003</v>
      </c>
      <c r="C25" s="5">
        <v>47.72</v>
      </c>
      <c r="D25" s="5">
        <v>26.87</v>
      </c>
      <c r="E25" s="5">
        <v>36.43</v>
      </c>
    </row>
    <row r="26" spans="1:5" ht="13.5" customHeight="1">
      <c r="A26" s="37">
        <v>42</v>
      </c>
      <c r="B26" s="5">
        <v>33.9</v>
      </c>
      <c r="C26" s="5">
        <v>50.23</v>
      </c>
      <c r="D26" s="5">
        <v>28.07</v>
      </c>
      <c r="E26" s="5">
        <v>38.200000000000003</v>
      </c>
    </row>
    <row r="27" spans="1:5" ht="13.5" customHeight="1">
      <c r="A27" s="37">
        <v>43</v>
      </c>
      <c r="B27" s="5">
        <v>35.479999999999997</v>
      </c>
      <c r="C27" s="5">
        <v>52.86</v>
      </c>
      <c r="D27" s="5">
        <v>29.32</v>
      </c>
      <c r="E27" s="5">
        <v>40.06</v>
      </c>
    </row>
    <row r="28" spans="1:5" ht="13.5" customHeight="1">
      <c r="A28" s="37">
        <v>44</v>
      </c>
      <c r="B28" s="5">
        <v>37.14</v>
      </c>
      <c r="C28" s="5">
        <v>55.64</v>
      </c>
      <c r="D28" s="5">
        <v>30.62</v>
      </c>
      <c r="E28" s="5">
        <v>42</v>
      </c>
    </row>
    <row r="29" spans="1:5" ht="13.5" customHeight="1">
      <c r="A29" s="37">
        <v>45</v>
      </c>
      <c r="B29" s="5">
        <v>38.1</v>
      </c>
      <c r="C29" s="5">
        <v>58.55</v>
      </c>
      <c r="D29" s="5">
        <v>31.98</v>
      </c>
      <c r="E29" s="5">
        <v>44.05</v>
      </c>
    </row>
    <row r="30" spans="1:5" ht="13.5" customHeight="1">
      <c r="A30" s="37">
        <v>46</v>
      </c>
      <c r="B30" s="5">
        <v>38.97</v>
      </c>
      <c r="C30" s="5">
        <v>60.05</v>
      </c>
      <c r="D30" s="5">
        <v>32.57</v>
      </c>
      <c r="E30" s="5">
        <v>45.07</v>
      </c>
    </row>
    <row r="31" spans="1:5" ht="13.5" customHeight="1">
      <c r="A31" s="37">
        <v>47</v>
      </c>
      <c r="B31" s="5">
        <v>39.840000000000003</v>
      </c>
      <c r="C31" s="5">
        <v>61.5</v>
      </c>
      <c r="D31" s="5">
        <v>33.159999999999997</v>
      </c>
      <c r="E31" s="5">
        <v>46.11</v>
      </c>
    </row>
    <row r="32" spans="1:5" ht="13.5" customHeight="1">
      <c r="A32" s="37">
        <v>48</v>
      </c>
      <c r="B32" s="5">
        <v>40.26</v>
      </c>
      <c r="C32" s="5">
        <v>62.32</v>
      </c>
      <c r="D32" s="5">
        <v>33.57</v>
      </c>
      <c r="E32" s="5">
        <v>46.75</v>
      </c>
    </row>
    <row r="33" spans="1:5" ht="13.5" customHeight="1">
      <c r="A33" s="37">
        <v>49</v>
      </c>
      <c r="B33" s="5">
        <v>40.68</v>
      </c>
      <c r="C33" s="5">
        <v>63.15</v>
      </c>
      <c r="D33" s="5">
        <v>33.92</v>
      </c>
      <c r="E33" s="5">
        <v>47.18</v>
      </c>
    </row>
    <row r="34" spans="1:5" ht="13.5" customHeight="1">
      <c r="A34" s="37">
        <v>50</v>
      </c>
      <c r="B34" s="5">
        <v>41.11</v>
      </c>
      <c r="C34" s="5">
        <v>63.95</v>
      </c>
      <c r="D34" s="5">
        <v>34.270000000000003</v>
      </c>
      <c r="E34" s="5">
        <v>47.63</v>
      </c>
    </row>
    <row r="35" spans="1:5" ht="13.5" customHeight="1">
      <c r="A35" s="37">
        <v>51</v>
      </c>
      <c r="B35" s="5">
        <v>42.55</v>
      </c>
      <c r="C35" s="5">
        <v>65.959999999999994</v>
      </c>
      <c r="D35" s="5">
        <v>35.11</v>
      </c>
      <c r="E35" s="5">
        <v>49.12</v>
      </c>
    </row>
    <row r="36" spans="1:5" ht="13.5" customHeight="1">
      <c r="A36" s="37">
        <v>52</v>
      </c>
      <c r="B36" s="5">
        <v>44.11</v>
      </c>
      <c r="C36" s="5">
        <v>68</v>
      </c>
      <c r="D36" s="5">
        <v>36.07</v>
      </c>
      <c r="E36" s="5">
        <v>50.66</v>
      </c>
    </row>
    <row r="37" spans="1:5" ht="13.5" customHeight="1">
      <c r="A37" s="37">
        <v>53</v>
      </c>
      <c r="B37" s="5">
        <v>45.69</v>
      </c>
      <c r="C37" s="5">
        <v>71.42</v>
      </c>
      <c r="D37" s="5">
        <v>36.9</v>
      </c>
      <c r="E37" s="5">
        <v>52.9</v>
      </c>
    </row>
    <row r="38" spans="1:5" ht="13.5" customHeight="1">
      <c r="A38" s="37">
        <v>54</v>
      </c>
      <c r="B38" s="5">
        <v>47.25</v>
      </c>
      <c r="C38" s="5">
        <v>73.44</v>
      </c>
      <c r="D38" s="5">
        <v>37.6</v>
      </c>
      <c r="E38" s="5">
        <v>54.13</v>
      </c>
    </row>
    <row r="39" spans="1:5" ht="13.5" customHeight="1">
      <c r="A39" s="37">
        <v>55</v>
      </c>
      <c r="B39" s="5">
        <v>48.68</v>
      </c>
      <c r="C39" s="5">
        <v>75.31</v>
      </c>
      <c r="D39" s="5">
        <v>38.28</v>
      </c>
      <c r="E39" s="5">
        <v>55.39</v>
      </c>
    </row>
    <row r="40" spans="1:5" ht="13.5" customHeight="1">
      <c r="A40" s="37">
        <v>56</v>
      </c>
      <c r="B40" s="5">
        <v>50.39</v>
      </c>
      <c r="C40" s="5">
        <v>79.27</v>
      </c>
      <c r="D40" s="5">
        <v>39.58</v>
      </c>
      <c r="E40" s="5">
        <v>57.84</v>
      </c>
    </row>
    <row r="41" spans="1:5" ht="13.5" customHeight="1">
      <c r="A41" s="37">
        <v>57</v>
      </c>
      <c r="B41" s="5">
        <v>51.38</v>
      </c>
      <c r="C41" s="5">
        <v>83.44</v>
      </c>
      <c r="D41" s="5">
        <v>39.83</v>
      </c>
      <c r="E41" s="5">
        <v>60.4</v>
      </c>
    </row>
    <row r="42" spans="1:5" ht="13.5" customHeight="1">
      <c r="A42" s="37">
        <v>58</v>
      </c>
      <c r="B42" s="5">
        <v>52.42</v>
      </c>
      <c r="C42" s="5">
        <v>87.83</v>
      </c>
      <c r="D42" s="5">
        <v>40.270000000000003</v>
      </c>
      <c r="E42" s="5">
        <v>63.08</v>
      </c>
    </row>
    <row r="43" spans="1:5" ht="13.5" customHeight="1">
      <c r="A43" s="37">
        <v>59</v>
      </c>
      <c r="B43" s="5">
        <v>53.68</v>
      </c>
      <c r="C43" s="5">
        <v>92.44</v>
      </c>
      <c r="D43" s="5">
        <v>41.3</v>
      </c>
      <c r="E43" s="5">
        <v>65.88</v>
      </c>
    </row>
    <row r="44" spans="1:5" ht="13.5" customHeight="1">
      <c r="A44" s="37">
        <v>60</v>
      </c>
      <c r="B44" s="5">
        <v>55.96</v>
      </c>
      <c r="C44" s="5">
        <v>97.3</v>
      </c>
      <c r="D44" s="5">
        <v>43.38</v>
      </c>
      <c r="E44" s="5">
        <v>68.8</v>
      </c>
    </row>
    <row r="45" spans="1:5" ht="13.5" customHeight="1">
      <c r="A45" s="37">
        <v>61</v>
      </c>
      <c r="B45" s="5">
        <v>58.43</v>
      </c>
      <c r="C45" s="5">
        <v>102.41</v>
      </c>
      <c r="D45" s="5">
        <v>46.64</v>
      </c>
      <c r="E45" s="5">
        <v>71.849999999999994</v>
      </c>
    </row>
    <row r="46" spans="1:5" ht="13.5" customHeight="1">
      <c r="A46" s="37">
        <v>62</v>
      </c>
      <c r="B46" s="5">
        <v>62.15</v>
      </c>
      <c r="C46" s="5">
        <v>107.8</v>
      </c>
      <c r="D46" s="5">
        <v>49.92</v>
      </c>
      <c r="E46" s="5">
        <v>75.03</v>
      </c>
    </row>
    <row r="47" spans="1:5" ht="13.5" customHeight="1">
      <c r="A47" s="37">
        <v>63</v>
      </c>
      <c r="B47" s="5">
        <v>64.62</v>
      </c>
      <c r="C47" s="5">
        <v>113.46</v>
      </c>
      <c r="D47" s="5">
        <v>52.45</v>
      </c>
      <c r="E47" s="5">
        <v>78.36</v>
      </c>
    </row>
    <row r="48" spans="1:5" ht="13.5" customHeight="1">
      <c r="A48" s="37">
        <v>64</v>
      </c>
      <c r="B48" s="5">
        <v>68</v>
      </c>
      <c r="C48" s="5">
        <v>119.43</v>
      </c>
      <c r="D48" s="5">
        <v>54.8</v>
      </c>
      <c r="E48" s="5">
        <v>81.83</v>
      </c>
    </row>
    <row r="49" spans="1:5" ht="13.5" customHeight="1">
      <c r="A49" s="37">
        <v>65</v>
      </c>
      <c r="B49" s="5">
        <v>70.69</v>
      </c>
      <c r="C49" s="5">
        <v>125.7</v>
      </c>
      <c r="D49" s="5">
        <v>55.78</v>
      </c>
      <c r="E49" s="5">
        <v>85.45</v>
      </c>
    </row>
    <row r="50" spans="1:5" ht="13.5" customHeight="1">
      <c r="A50" s="37">
        <v>66</v>
      </c>
      <c r="B50" s="5">
        <v>74.86</v>
      </c>
      <c r="C50" s="5">
        <v>133.01</v>
      </c>
      <c r="D50" s="5">
        <v>59.54</v>
      </c>
      <c r="E50" s="5">
        <v>90.56</v>
      </c>
    </row>
    <row r="51" spans="1:5" ht="13.5" customHeight="1">
      <c r="A51" s="37">
        <v>67</v>
      </c>
      <c r="B51" s="5">
        <v>79.78</v>
      </c>
      <c r="C51" s="5">
        <v>140.75</v>
      </c>
      <c r="D51" s="5">
        <v>62.27</v>
      </c>
      <c r="E51" s="5">
        <v>95.98</v>
      </c>
    </row>
    <row r="52" spans="1:5" ht="13.5" customHeight="1">
      <c r="A52" s="37">
        <v>68</v>
      </c>
      <c r="B52" s="5">
        <v>84.67</v>
      </c>
      <c r="C52" s="5">
        <v>148.93</v>
      </c>
      <c r="D52" s="5">
        <v>65.489999999999995</v>
      </c>
      <c r="E52" s="5">
        <v>101.72</v>
      </c>
    </row>
    <row r="53" spans="1:5" ht="13.5" customHeight="1">
      <c r="A53" s="37">
        <v>69</v>
      </c>
      <c r="B53" s="5">
        <v>89.57</v>
      </c>
      <c r="C53" s="5">
        <v>157.59</v>
      </c>
      <c r="D53" s="5">
        <v>68.19</v>
      </c>
      <c r="E53" s="5">
        <v>107.8</v>
      </c>
    </row>
    <row r="54" spans="1:5" ht="13.5" customHeight="1">
      <c r="A54" s="37">
        <v>70</v>
      </c>
      <c r="B54" s="5">
        <v>95.88</v>
      </c>
      <c r="C54" s="5">
        <v>166.76</v>
      </c>
      <c r="D54" s="5">
        <v>71.58</v>
      </c>
      <c r="E54" s="5">
        <v>112.81</v>
      </c>
    </row>
    <row r="55" spans="1:5" ht="13.5" customHeight="1">
      <c r="A55" s="37">
        <v>71</v>
      </c>
      <c r="B55" s="5">
        <v>101.83</v>
      </c>
      <c r="C55" s="5">
        <v>176.45</v>
      </c>
      <c r="D55" s="5">
        <v>76.38</v>
      </c>
      <c r="E55" s="5">
        <v>120.59</v>
      </c>
    </row>
    <row r="56" spans="1:5" ht="13.5" customHeight="1">
      <c r="A56" s="37">
        <v>72</v>
      </c>
      <c r="B56" s="5">
        <v>109.18</v>
      </c>
      <c r="C56" s="5">
        <v>186.71</v>
      </c>
      <c r="D56" s="5">
        <v>80.03</v>
      </c>
      <c r="E56" s="5">
        <v>128.32</v>
      </c>
    </row>
    <row r="57" spans="1:5" ht="13.5" customHeight="1">
      <c r="A57" s="37">
        <v>73</v>
      </c>
      <c r="B57" s="5">
        <v>116.53</v>
      </c>
      <c r="C57" s="5">
        <v>197.57</v>
      </c>
      <c r="D57" s="5">
        <v>85.97</v>
      </c>
      <c r="E57" s="5">
        <v>135.99</v>
      </c>
    </row>
    <row r="58" spans="1:5" ht="13.5" customHeight="1">
      <c r="A58" s="37">
        <v>74</v>
      </c>
      <c r="B58" s="5">
        <v>123.89</v>
      </c>
      <c r="C58" s="5">
        <v>209.06</v>
      </c>
      <c r="D58" s="5">
        <v>90.72</v>
      </c>
      <c r="E58" s="5">
        <v>144.12</v>
      </c>
    </row>
    <row r="59" spans="1:5" ht="13.5" customHeight="1">
      <c r="A59" s="37">
        <v>75</v>
      </c>
      <c r="B59" s="5">
        <v>131.96</v>
      </c>
      <c r="C59" s="5">
        <v>221.22</v>
      </c>
      <c r="D59" s="5">
        <v>95.67</v>
      </c>
      <c r="E59" s="5">
        <v>152.74</v>
      </c>
    </row>
    <row r="60" spans="1:5" ht="13.5" customHeight="1">
      <c r="A60" s="37">
        <v>76</v>
      </c>
      <c r="B60" s="5">
        <v>144.80000000000001</v>
      </c>
      <c r="C60" s="5">
        <v>236.27</v>
      </c>
      <c r="D60" s="5">
        <v>106.97</v>
      </c>
      <c r="E60" s="5">
        <v>164.44</v>
      </c>
    </row>
    <row r="61" spans="1:5" ht="13.5" customHeight="1">
      <c r="A61" s="37">
        <v>77</v>
      </c>
      <c r="B61" s="5">
        <v>157.11000000000001</v>
      </c>
      <c r="C61" s="5">
        <v>252.34</v>
      </c>
      <c r="D61" s="5">
        <v>117.59</v>
      </c>
      <c r="E61" s="5">
        <v>177.04</v>
      </c>
    </row>
    <row r="62" spans="1:5" ht="13.5" customHeight="1">
      <c r="A62" s="37">
        <v>78</v>
      </c>
      <c r="B62" s="5">
        <v>169.53</v>
      </c>
      <c r="C62" s="5">
        <v>269.51</v>
      </c>
      <c r="D62" s="5">
        <v>128.54</v>
      </c>
      <c r="E62" s="5">
        <v>190.6</v>
      </c>
    </row>
    <row r="63" spans="1:5" ht="13.5" customHeight="1">
      <c r="A63" s="37">
        <v>79</v>
      </c>
      <c r="B63" s="5">
        <v>182.27</v>
      </c>
      <c r="C63" s="5">
        <v>287.85000000000002</v>
      </c>
      <c r="D63" s="5">
        <v>139.83000000000001</v>
      </c>
      <c r="E63" s="5">
        <v>205.2</v>
      </c>
    </row>
    <row r="64" spans="1:5" ht="13.5" customHeight="1">
      <c r="A64" s="37">
        <v>80</v>
      </c>
      <c r="B64" s="5">
        <v>196.15</v>
      </c>
      <c r="C64" s="5">
        <v>307.44</v>
      </c>
      <c r="D64" s="5">
        <v>151.99</v>
      </c>
      <c r="E64" s="5">
        <v>220.92</v>
      </c>
    </row>
    <row r="65" spans="1:5" ht="13.5" customHeight="1">
      <c r="A65" s="37">
        <v>81</v>
      </c>
      <c r="B65" s="5">
        <v>210.78</v>
      </c>
      <c r="C65" s="5">
        <v>328.36</v>
      </c>
      <c r="D65" s="5">
        <v>164.52</v>
      </c>
      <c r="E65" s="5">
        <v>237.84</v>
      </c>
    </row>
    <row r="66" spans="1:5" ht="13.5" customHeight="1">
      <c r="A66" s="37">
        <v>82</v>
      </c>
      <c r="B66" s="5">
        <v>227.78</v>
      </c>
      <c r="C66" s="5">
        <v>350.7</v>
      </c>
      <c r="D66" s="5">
        <v>179.81</v>
      </c>
      <c r="E66" s="5">
        <v>256.06</v>
      </c>
    </row>
    <row r="67" spans="1:5" ht="13.5" customHeight="1">
      <c r="A67" s="37">
        <v>83</v>
      </c>
      <c r="B67" s="5">
        <v>246.16</v>
      </c>
      <c r="C67" s="5">
        <v>374.56</v>
      </c>
      <c r="D67" s="5">
        <v>196.52</v>
      </c>
      <c r="E67" s="5">
        <v>275.67</v>
      </c>
    </row>
    <row r="68" spans="1:5" ht="13.5" customHeight="1">
      <c r="A68" s="37">
        <v>84</v>
      </c>
      <c r="B68" s="5">
        <v>266.01</v>
      </c>
      <c r="C68" s="5">
        <v>400.05</v>
      </c>
      <c r="D68" s="5">
        <v>214.78</v>
      </c>
      <c r="E68" s="5">
        <v>296.79000000000002</v>
      </c>
    </row>
    <row r="69" spans="1:5" ht="13.5" customHeight="1">
      <c r="A69" s="37">
        <v>85</v>
      </c>
      <c r="B69" s="5">
        <v>287.45999999999998</v>
      </c>
      <c r="C69" s="5">
        <v>427.27</v>
      </c>
      <c r="D69" s="5">
        <v>233.96</v>
      </c>
      <c r="E69" s="5">
        <v>319.52999999999997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E486A-6554-42BA-A8BC-565DAC510A29}">
  <dimension ref="A1:E64"/>
  <sheetViews>
    <sheetView topLeftCell="A32" workbookViewId="0">
      <selection activeCell="B57" sqref="B57"/>
    </sheetView>
  </sheetViews>
  <sheetFormatPr defaultColWidth="16.5703125" defaultRowHeight="12" customHeight="1"/>
  <cols>
    <col min="1" max="1" width="11.28515625" style="6" customWidth="1"/>
    <col min="2" max="16384" width="16.5703125" style="6"/>
  </cols>
  <sheetData>
    <row r="1" spans="1:5" ht="12" customHeight="1">
      <c r="A1" s="3" t="s">
        <v>23</v>
      </c>
      <c r="B1" s="4" t="s">
        <v>24</v>
      </c>
      <c r="C1" s="4" t="s">
        <v>26</v>
      </c>
      <c r="D1" s="4" t="s">
        <v>25</v>
      </c>
      <c r="E1" s="4" t="s">
        <v>27</v>
      </c>
    </row>
    <row r="2" spans="1:5" ht="12" customHeight="1">
      <c r="A2" s="1">
        <v>18</v>
      </c>
      <c r="B2" s="5">
        <v>27.21</v>
      </c>
      <c r="C2" s="5">
        <v>24.3</v>
      </c>
      <c r="D2" s="5">
        <v>31.68</v>
      </c>
      <c r="E2" s="5">
        <v>25.05</v>
      </c>
    </row>
    <row r="3" spans="1:5" ht="12" customHeight="1">
      <c r="A3" s="1">
        <v>19</v>
      </c>
      <c r="B3" s="5">
        <v>27.27</v>
      </c>
      <c r="C3" s="5">
        <v>24.7</v>
      </c>
      <c r="D3" s="5">
        <v>32.93</v>
      </c>
      <c r="E3" s="5">
        <v>26.08</v>
      </c>
    </row>
    <row r="4" spans="1:5" ht="12" customHeight="1">
      <c r="A4" s="1">
        <v>20</v>
      </c>
      <c r="B4" s="5">
        <v>27.34</v>
      </c>
      <c r="C4" s="5">
        <v>25.1</v>
      </c>
      <c r="D4" s="5">
        <v>34.200000000000003</v>
      </c>
      <c r="E4" s="5">
        <v>27.89</v>
      </c>
    </row>
    <row r="5" spans="1:5" ht="12" customHeight="1">
      <c r="A5" s="1">
        <v>21</v>
      </c>
      <c r="B5" s="5">
        <v>28.12</v>
      </c>
      <c r="C5" s="5">
        <v>25.35</v>
      </c>
      <c r="D5" s="5">
        <v>35.4</v>
      </c>
      <c r="E5" s="5">
        <v>28.68</v>
      </c>
    </row>
    <row r="6" spans="1:5" ht="12" customHeight="1">
      <c r="A6" s="1">
        <v>22</v>
      </c>
      <c r="B6" s="5">
        <v>28.93</v>
      </c>
      <c r="C6" s="5">
        <v>25.6</v>
      </c>
      <c r="D6" s="5">
        <v>36.619999999999997</v>
      </c>
      <c r="E6" s="5">
        <v>29.1</v>
      </c>
    </row>
    <row r="7" spans="1:5" ht="12" customHeight="1">
      <c r="A7" s="1">
        <v>23</v>
      </c>
      <c r="B7" s="5">
        <v>29.74</v>
      </c>
      <c r="C7" s="5">
        <v>25.86</v>
      </c>
      <c r="D7" s="5">
        <v>37.9</v>
      </c>
      <c r="E7" s="5">
        <v>29.89</v>
      </c>
    </row>
    <row r="8" spans="1:5" ht="12" customHeight="1">
      <c r="A8" s="1">
        <v>24</v>
      </c>
      <c r="B8" s="5">
        <v>30.59</v>
      </c>
      <c r="C8" s="5">
        <v>26.1</v>
      </c>
      <c r="D8" s="5">
        <v>39.22</v>
      </c>
      <c r="E8" s="5">
        <v>30.86</v>
      </c>
    </row>
    <row r="9" spans="1:5" ht="12" customHeight="1">
      <c r="A9" s="1">
        <v>25</v>
      </c>
      <c r="B9" s="5">
        <v>30.92</v>
      </c>
      <c r="C9" s="5">
        <v>26.36</v>
      </c>
      <c r="D9" s="5">
        <v>39.89</v>
      </c>
      <c r="E9" s="5">
        <v>31.86</v>
      </c>
    </row>
    <row r="10" spans="1:5" ht="12" customHeight="1">
      <c r="A10" s="1">
        <v>26</v>
      </c>
      <c r="B10" s="5">
        <v>31.24</v>
      </c>
      <c r="C10" s="5">
        <v>26.42</v>
      </c>
      <c r="D10" s="5">
        <v>40.549999999999997</v>
      </c>
      <c r="E10" s="5">
        <v>32.46</v>
      </c>
    </row>
    <row r="11" spans="1:5" ht="12" customHeight="1">
      <c r="A11" s="1">
        <v>27</v>
      </c>
      <c r="B11" s="5">
        <v>31.31</v>
      </c>
      <c r="C11" s="5">
        <v>26.47</v>
      </c>
      <c r="D11" s="5">
        <v>40.619999999999997</v>
      </c>
      <c r="E11" s="5">
        <v>33.07</v>
      </c>
    </row>
    <row r="12" spans="1:5" ht="12" customHeight="1">
      <c r="A12" s="1">
        <v>28</v>
      </c>
      <c r="B12" s="5">
        <v>31.39</v>
      </c>
      <c r="C12" s="5">
        <v>26.52</v>
      </c>
      <c r="D12" s="5">
        <v>40.700000000000003</v>
      </c>
      <c r="E12" s="5">
        <v>33.68</v>
      </c>
    </row>
    <row r="13" spans="1:5" ht="12" customHeight="1">
      <c r="A13" s="1">
        <v>29</v>
      </c>
      <c r="B13" s="5">
        <v>31.48</v>
      </c>
      <c r="C13" s="5">
        <v>26.59</v>
      </c>
      <c r="D13" s="5">
        <v>40.79</v>
      </c>
      <c r="E13" s="5">
        <v>34.32</v>
      </c>
    </row>
    <row r="14" spans="1:5" ht="12" customHeight="1">
      <c r="A14" s="1">
        <v>30</v>
      </c>
      <c r="B14" s="5">
        <v>31.58</v>
      </c>
      <c r="C14" s="5">
        <v>26.64</v>
      </c>
      <c r="D14" s="5">
        <v>40.89</v>
      </c>
      <c r="E14" s="5">
        <v>34.97</v>
      </c>
    </row>
    <row r="15" spans="1:5" ht="12" customHeight="1">
      <c r="A15" s="1">
        <v>31</v>
      </c>
      <c r="B15" s="5">
        <v>31.69</v>
      </c>
      <c r="C15" s="5">
        <v>27.36</v>
      </c>
      <c r="D15" s="5">
        <v>41.41</v>
      </c>
      <c r="E15" s="5">
        <v>35.1</v>
      </c>
    </row>
    <row r="16" spans="1:5" ht="12" customHeight="1">
      <c r="A16" s="1">
        <v>32</v>
      </c>
      <c r="B16" s="5">
        <v>31.81</v>
      </c>
      <c r="C16" s="5">
        <v>28.18</v>
      </c>
      <c r="D16" s="5">
        <v>42.43</v>
      </c>
      <c r="E16" s="5">
        <v>35.229999999999997</v>
      </c>
    </row>
    <row r="17" spans="1:5" ht="12" customHeight="1">
      <c r="A17" s="1">
        <v>33</v>
      </c>
      <c r="B17" s="5">
        <v>32.03</v>
      </c>
      <c r="C17" s="5">
        <v>29.02</v>
      </c>
      <c r="D17" s="5">
        <v>43.47</v>
      </c>
      <c r="E17" s="5">
        <v>35.36</v>
      </c>
    </row>
    <row r="18" spans="1:5" ht="12" customHeight="1">
      <c r="A18" s="1">
        <v>34</v>
      </c>
      <c r="B18" s="5">
        <v>32.71</v>
      </c>
      <c r="C18" s="5">
        <v>29.66</v>
      </c>
      <c r="D18" s="5">
        <v>44.55</v>
      </c>
      <c r="E18" s="5">
        <v>35.49</v>
      </c>
    </row>
    <row r="19" spans="1:5" ht="12" customHeight="1">
      <c r="A19" s="1">
        <v>35</v>
      </c>
      <c r="B19" s="5">
        <v>33.22</v>
      </c>
      <c r="C19" s="5">
        <v>30.16</v>
      </c>
      <c r="D19" s="5">
        <v>45.64</v>
      </c>
      <c r="E19" s="5">
        <v>35.619999999999997</v>
      </c>
    </row>
    <row r="20" spans="1:5" ht="12" customHeight="1">
      <c r="A20" s="1">
        <v>36</v>
      </c>
      <c r="B20" s="5">
        <v>34.479999999999997</v>
      </c>
      <c r="C20" s="5">
        <v>31.43</v>
      </c>
      <c r="D20" s="5">
        <v>48.05</v>
      </c>
      <c r="E20" s="5">
        <v>37.35</v>
      </c>
    </row>
    <row r="21" spans="1:5" ht="12" customHeight="1">
      <c r="A21" s="1">
        <v>37</v>
      </c>
      <c r="B21" s="5">
        <v>35.53</v>
      </c>
      <c r="C21" s="5">
        <v>32.479999999999997</v>
      </c>
      <c r="D21" s="5">
        <v>50.57</v>
      </c>
      <c r="E21" s="5">
        <v>39.17</v>
      </c>
    </row>
    <row r="22" spans="1:5" ht="12" customHeight="1">
      <c r="A22" s="1">
        <v>38</v>
      </c>
      <c r="B22" s="5">
        <v>36.71</v>
      </c>
      <c r="C22" s="5">
        <v>33.479999999999997</v>
      </c>
      <c r="D22" s="5">
        <v>53.22</v>
      </c>
      <c r="E22" s="5">
        <v>41.07</v>
      </c>
    </row>
    <row r="23" spans="1:5" ht="12" customHeight="1">
      <c r="A23" s="1">
        <v>39</v>
      </c>
      <c r="B23" s="5">
        <v>38.43</v>
      </c>
      <c r="C23" s="5">
        <v>34.450000000000003</v>
      </c>
      <c r="D23" s="5">
        <v>56</v>
      </c>
      <c r="E23" s="5">
        <v>43.07</v>
      </c>
    </row>
    <row r="24" spans="1:5" ht="12" customHeight="1">
      <c r="A24" s="1">
        <v>40</v>
      </c>
      <c r="B24" s="5">
        <v>40.22</v>
      </c>
      <c r="C24" s="5">
        <v>35.33</v>
      </c>
      <c r="D24" s="5">
        <v>58.94</v>
      </c>
      <c r="E24" s="5">
        <v>45.16</v>
      </c>
    </row>
    <row r="25" spans="1:5" ht="12" customHeight="1">
      <c r="A25" s="1">
        <v>41</v>
      </c>
      <c r="B25" s="5">
        <v>42.09</v>
      </c>
      <c r="C25" s="5">
        <v>36.99</v>
      </c>
      <c r="D25" s="5">
        <v>62.04</v>
      </c>
      <c r="E25" s="5">
        <v>47.36</v>
      </c>
    </row>
    <row r="26" spans="1:5" ht="12" customHeight="1">
      <c r="A26" s="1">
        <v>42</v>
      </c>
      <c r="B26" s="5">
        <v>44.07</v>
      </c>
      <c r="C26" s="5">
        <v>38.68</v>
      </c>
      <c r="D26" s="5">
        <v>65.3</v>
      </c>
      <c r="E26" s="5">
        <v>49.66</v>
      </c>
    </row>
    <row r="27" spans="1:5" ht="12" customHeight="1">
      <c r="A27" s="1">
        <v>43</v>
      </c>
      <c r="B27" s="5">
        <v>46.12</v>
      </c>
      <c r="C27" s="5">
        <v>40.479999999999997</v>
      </c>
      <c r="D27" s="5">
        <v>68.72</v>
      </c>
      <c r="E27" s="5">
        <v>52.08</v>
      </c>
    </row>
    <row r="28" spans="1:5" ht="12" customHeight="1">
      <c r="A28" s="1">
        <v>44</v>
      </c>
      <c r="B28" s="5">
        <v>48.28</v>
      </c>
      <c r="C28" s="5">
        <v>42.44</v>
      </c>
      <c r="D28" s="5">
        <v>72.33</v>
      </c>
      <c r="E28" s="5">
        <v>54.6</v>
      </c>
    </row>
    <row r="29" spans="1:5" ht="12" customHeight="1">
      <c r="A29" s="1">
        <v>45</v>
      </c>
      <c r="B29" s="5">
        <v>51.81</v>
      </c>
      <c r="C29" s="5">
        <v>48.51</v>
      </c>
      <c r="D29" s="5">
        <v>76.12</v>
      </c>
      <c r="E29" s="5">
        <v>57.27</v>
      </c>
    </row>
    <row r="30" spans="1:5" ht="12" customHeight="1">
      <c r="A30" s="2">
        <v>46</v>
      </c>
      <c r="B30" s="5">
        <v>56.8</v>
      </c>
      <c r="C30" s="5">
        <v>52.95</v>
      </c>
      <c r="D30" s="5">
        <v>78.069999999999993</v>
      </c>
      <c r="E30" s="5">
        <v>58.91</v>
      </c>
    </row>
    <row r="31" spans="1:5" ht="12" customHeight="1">
      <c r="A31" s="1">
        <v>47</v>
      </c>
      <c r="B31" s="5">
        <v>56.3</v>
      </c>
      <c r="C31" s="5">
        <v>62.54</v>
      </c>
      <c r="D31" s="5">
        <v>58.2</v>
      </c>
      <c r="E31" s="5">
        <v>79.95</v>
      </c>
    </row>
    <row r="32" spans="1:5" ht="12" customHeight="1">
      <c r="A32" s="1">
        <v>48</v>
      </c>
      <c r="B32" s="5">
        <v>59.95</v>
      </c>
      <c r="C32" s="5">
        <v>66.48</v>
      </c>
      <c r="D32" s="5">
        <v>59.72</v>
      </c>
      <c r="E32" s="5">
        <v>81.02</v>
      </c>
    </row>
    <row r="33" spans="1:5" ht="12" customHeight="1">
      <c r="A33" s="1">
        <v>49</v>
      </c>
      <c r="B33" s="5">
        <v>62.93</v>
      </c>
      <c r="C33" s="5">
        <v>66.67</v>
      </c>
      <c r="D33" s="5">
        <v>61.13</v>
      </c>
      <c r="E33" s="5">
        <v>82.1</v>
      </c>
    </row>
    <row r="34" spans="1:5" ht="12" customHeight="1">
      <c r="A34" s="1">
        <v>50</v>
      </c>
      <c r="B34" s="5">
        <v>63.06</v>
      </c>
      <c r="C34" s="5">
        <v>67.53</v>
      </c>
      <c r="D34" s="5">
        <v>61.91</v>
      </c>
      <c r="E34" s="5">
        <v>83.14</v>
      </c>
    </row>
    <row r="35" spans="1:5" ht="12" customHeight="1">
      <c r="A35" s="1">
        <v>51</v>
      </c>
      <c r="B35" s="5">
        <v>63.19</v>
      </c>
      <c r="C35" s="5">
        <v>70.37</v>
      </c>
      <c r="D35" s="5">
        <v>62.69</v>
      </c>
      <c r="E35" s="5">
        <v>85.75</v>
      </c>
    </row>
    <row r="36" spans="1:5" ht="12" customHeight="1">
      <c r="A36" s="1">
        <v>52</v>
      </c>
      <c r="B36" s="5">
        <v>64.569999999999993</v>
      </c>
      <c r="C36" s="5">
        <v>73.34</v>
      </c>
      <c r="D36" s="5">
        <v>65.28</v>
      </c>
      <c r="E36" s="5">
        <v>88.4</v>
      </c>
    </row>
    <row r="37" spans="1:5" ht="12" customHeight="1">
      <c r="A37" s="1">
        <v>53</v>
      </c>
      <c r="B37" s="5">
        <v>65.97</v>
      </c>
      <c r="C37" s="5">
        <v>76.42</v>
      </c>
      <c r="D37" s="5">
        <v>67.88</v>
      </c>
      <c r="E37" s="5">
        <v>92.85</v>
      </c>
    </row>
    <row r="38" spans="1:5" ht="12" customHeight="1">
      <c r="A38" s="1">
        <v>54</v>
      </c>
      <c r="B38" s="5">
        <v>67.41</v>
      </c>
      <c r="C38" s="5">
        <v>79.64</v>
      </c>
      <c r="D38" s="5">
        <v>70.489999999999995</v>
      </c>
      <c r="E38" s="5">
        <v>95.47</v>
      </c>
    </row>
    <row r="39" spans="1:5" ht="12" customHeight="1">
      <c r="A39" s="1">
        <v>55</v>
      </c>
      <c r="B39" s="5">
        <v>68.87</v>
      </c>
      <c r="C39" s="5">
        <v>82.99</v>
      </c>
      <c r="D39" s="5">
        <v>72.47</v>
      </c>
      <c r="E39" s="5">
        <v>97.9</v>
      </c>
    </row>
    <row r="40" spans="1:5" ht="12" customHeight="1">
      <c r="A40" s="1">
        <v>56</v>
      </c>
      <c r="B40" s="5">
        <v>69.349999999999994</v>
      </c>
      <c r="C40" s="5">
        <v>83.03</v>
      </c>
      <c r="D40" s="5">
        <v>80.12</v>
      </c>
      <c r="E40" s="5">
        <v>103.05</v>
      </c>
    </row>
    <row r="41" spans="1:5" ht="12" customHeight="1">
      <c r="A41" s="1">
        <v>57</v>
      </c>
      <c r="B41" s="5">
        <v>69.8</v>
      </c>
      <c r="C41" s="5">
        <v>83.07</v>
      </c>
      <c r="D41" s="5">
        <v>82.68</v>
      </c>
      <c r="E41" s="5">
        <v>108.47</v>
      </c>
    </row>
    <row r="42" spans="1:5" ht="12" customHeight="1">
      <c r="A42" s="1">
        <v>58</v>
      </c>
      <c r="B42" s="5">
        <v>70.2</v>
      </c>
      <c r="C42" s="5">
        <v>83.11</v>
      </c>
      <c r="D42" s="5">
        <v>85.33</v>
      </c>
      <c r="E42" s="5">
        <v>114.18</v>
      </c>
    </row>
    <row r="43" spans="1:5" ht="12" customHeight="1">
      <c r="A43" s="1">
        <v>59</v>
      </c>
      <c r="B43" s="5">
        <v>70.56</v>
      </c>
      <c r="C43" s="5">
        <v>85.64</v>
      </c>
      <c r="D43" s="5">
        <v>86.33</v>
      </c>
      <c r="E43" s="5">
        <v>120.17</v>
      </c>
    </row>
    <row r="44" spans="1:5" ht="12" customHeight="1">
      <c r="A44" s="1">
        <v>60</v>
      </c>
      <c r="B44" s="5">
        <v>70.87</v>
      </c>
      <c r="C44" s="5">
        <v>89.44</v>
      </c>
      <c r="D44" s="5">
        <v>87.03</v>
      </c>
      <c r="E44" s="5">
        <v>126.49</v>
      </c>
    </row>
    <row r="45" spans="1:5" ht="12" customHeight="1">
      <c r="A45" s="1">
        <v>61</v>
      </c>
      <c r="B45" s="5">
        <v>74.06</v>
      </c>
      <c r="C45" s="5">
        <v>93.41</v>
      </c>
      <c r="D45" s="5">
        <v>89.4</v>
      </c>
      <c r="E45" s="5">
        <v>133.13</v>
      </c>
    </row>
    <row r="46" spans="1:5" ht="12" customHeight="1">
      <c r="A46" s="1">
        <v>62</v>
      </c>
      <c r="B46" s="5">
        <v>77.38</v>
      </c>
      <c r="C46" s="5">
        <v>97.54</v>
      </c>
      <c r="D46" s="5">
        <v>94.15</v>
      </c>
      <c r="E46" s="5">
        <v>140.13999999999999</v>
      </c>
    </row>
    <row r="47" spans="1:5" ht="12" customHeight="1">
      <c r="A47" s="1">
        <v>63</v>
      </c>
      <c r="B47" s="5">
        <v>80.84</v>
      </c>
      <c r="C47" s="5">
        <v>101.87</v>
      </c>
      <c r="D47" s="5">
        <v>99.12</v>
      </c>
      <c r="E47" s="5">
        <v>147.5</v>
      </c>
    </row>
    <row r="48" spans="1:5" ht="12" customHeight="1">
      <c r="A48" s="1">
        <v>64</v>
      </c>
      <c r="B48" s="5">
        <v>84.43</v>
      </c>
      <c r="C48" s="5">
        <v>106.38</v>
      </c>
      <c r="D48" s="5">
        <v>104.3</v>
      </c>
      <c r="E48" s="5">
        <v>155.26</v>
      </c>
    </row>
    <row r="49" spans="1:5" ht="12" customHeight="1">
      <c r="A49" s="1">
        <v>65</v>
      </c>
      <c r="B49" s="5">
        <v>88.17</v>
      </c>
      <c r="C49" s="5">
        <v>111.09</v>
      </c>
      <c r="D49" s="5">
        <v>109.71</v>
      </c>
      <c r="E49" s="5">
        <v>163.41</v>
      </c>
    </row>
    <row r="50" spans="1:5" ht="12" customHeight="1">
      <c r="A50" s="1">
        <v>66</v>
      </c>
      <c r="B50" s="5">
        <v>93.53</v>
      </c>
      <c r="C50" s="5">
        <v>117.73</v>
      </c>
      <c r="D50" s="5">
        <v>117.01</v>
      </c>
      <c r="E50" s="5">
        <v>172.91</v>
      </c>
    </row>
    <row r="51" spans="1:5" ht="12" customHeight="1">
      <c r="A51" s="1">
        <v>67</v>
      </c>
      <c r="B51" s="5">
        <v>99.21</v>
      </c>
      <c r="C51" s="5">
        <v>124.77</v>
      </c>
      <c r="D51" s="5">
        <v>124.8</v>
      </c>
      <c r="E51" s="5">
        <v>182.98</v>
      </c>
    </row>
    <row r="52" spans="1:5" ht="12" customHeight="1">
      <c r="A52" s="1">
        <v>68</v>
      </c>
      <c r="B52" s="5">
        <v>105.23</v>
      </c>
      <c r="C52" s="5">
        <v>132.24</v>
      </c>
      <c r="D52" s="5">
        <v>133.11000000000001</v>
      </c>
      <c r="E52" s="5">
        <v>193.61</v>
      </c>
    </row>
    <row r="53" spans="1:5" ht="12" customHeight="1">
      <c r="A53" s="1">
        <v>69</v>
      </c>
      <c r="B53" s="5">
        <v>111.63</v>
      </c>
      <c r="C53" s="5">
        <v>140.13999999999999</v>
      </c>
      <c r="D53" s="5">
        <v>141.97</v>
      </c>
      <c r="E53" s="5">
        <v>204.87</v>
      </c>
    </row>
    <row r="54" spans="1:5" ht="12" customHeight="1">
      <c r="A54" s="1">
        <v>70</v>
      </c>
      <c r="B54" s="5">
        <v>118.41</v>
      </c>
      <c r="C54" s="5">
        <v>146.65</v>
      </c>
      <c r="D54" s="5">
        <v>151.41999999999999</v>
      </c>
      <c r="E54" s="5">
        <v>216.79</v>
      </c>
    </row>
    <row r="55" spans="1:5" ht="12" customHeight="1">
      <c r="A55" s="1">
        <v>71</v>
      </c>
      <c r="B55" s="5">
        <v>124.13</v>
      </c>
      <c r="C55" s="5">
        <v>156.77000000000001</v>
      </c>
      <c r="D55" s="5">
        <v>161.46</v>
      </c>
      <c r="E55" s="5">
        <v>229.39</v>
      </c>
    </row>
    <row r="56" spans="1:5" ht="12" customHeight="1">
      <c r="A56" s="1">
        <v>72</v>
      </c>
      <c r="B56" s="5">
        <v>130.12</v>
      </c>
      <c r="C56" s="5">
        <v>166.82</v>
      </c>
      <c r="D56" s="5">
        <v>172.17</v>
      </c>
      <c r="E56" s="5">
        <v>242.72</v>
      </c>
    </row>
    <row r="57" spans="1:5" ht="12" customHeight="1">
      <c r="A57" s="1">
        <v>73</v>
      </c>
      <c r="B57" s="5">
        <v>136.37</v>
      </c>
      <c r="C57" s="5">
        <v>176.79</v>
      </c>
      <c r="D57" s="5">
        <v>183.59</v>
      </c>
      <c r="E57" s="5">
        <v>256.83999999999997</v>
      </c>
    </row>
    <row r="58" spans="1:5" ht="12" customHeight="1">
      <c r="A58" s="1">
        <v>74</v>
      </c>
      <c r="B58" s="5">
        <v>142.91</v>
      </c>
      <c r="C58" s="5">
        <v>187.36</v>
      </c>
      <c r="D58" s="5">
        <v>195.77</v>
      </c>
      <c r="E58" s="5">
        <v>271.77999999999997</v>
      </c>
    </row>
    <row r="59" spans="1:5" ht="12" customHeight="1">
      <c r="A59" s="1">
        <v>75</v>
      </c>
      <c r="B59" s="5">
        <v>149.72999999999999</v>
      </c>
      <c r="C59" s="5">
        <v>198.56</v>
      </c>
      <c r="D59" s="5">
        <v>208.75</v>
      </c>
      <c r="E59" s="5">
        <v>287.58999999999997</v>
      </c>
    </row>
    <row r="60" spans="1:5" ht="12" customHeight="1">
      <c r="A60" s="1">
        <v>76</v>
      </c>
      <c r="B60" s="5">
        <v>159.9</v>
      </c>
      <c r="C60" s="5">
        <v>213.77</v>
      </c>
      <c r="D60" s="5">
        <v>220.26</v>
      </c>
      <c r="E60" s="5">
        <v>307.14999999999998</v>
      </c>
    </row>
    <row r="61" spans="1:5" ht="12" customHeight="1">
      <c r="A61" s="1">
        <v>77</v>
      </c>
      <c r="B61" s="5">
        <v>170.19</v>
      </c>
      <c r="C61" s="5">
        <v>230.15</v>
      </c>
      <c r="D61" s="5">
        <v>231.96</v>
      </c>
      <c r="E61" s="5">
        <v>328.04</v>
      </c>
    </row>
    <row r="62" spans="1:5" ht="12" customHeight="1">
      <c r="A62" s="1">
        <v>78</v>
      </c>
      <c r="B62" s="5">
        <v>180.63</v>
      </c>
      <c r="C62" s="5">
        <v>240.02</v>
      </c>
      <c r="D62" s="5">
        <v>243.84</v>
      </c>
      <c r="E62" s="5">
        <v>336.59</v>
      </c>
    </row>
    <row r="63" spans="1:5" ht="12" customHeight="1">
      <c r="A63" s="1">
        <v>79</v>
      </c>
      <c r="B63" s="5">
        <v>191.19</v>
      </c>
      <c r="C63" s="5">
        <v>242.14</v>
      </c>
      <c r="D63" s="5">
        <v>255.92</v>
      </c>
      <c r="E63" s="5">
        <v>338.7</v>
      </c>
    </row>
    <row r="64" spans="1:5" ht="12" customHeight="1">
      <c r="A64" s="1">
        <v>80</v>
      </c>
      <c r="B64" s="5">
        <v>201.89</v>
      </c>
      <c r="C64" s="5">
        <v>244.28</v>
      </c>
      <c r="D64" s="5">
        <v>268.18</v>
      </c>
      <c r="E64" s="5">
        <v>340.82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B38B7-D784-476F-8B2B-BDD5EB044496}">
  <dimension ref="A1:K33"/>
  <sheetViews>
    <sheetView topLeftCell="A16" workbookViewId="0">
      <selection activeCell="B26" sqref="B26"/>
    </sheetView>
  </sheetViews>
  <sheetFormatPr defaultRowHeight="15"/>
  <sheetData>
    <row r="1" spans="1:11">
      <c r="A1" s="38" t="s">
        <v>23</v>
      </c>
      <c r="B1" s="39" t="s">
        <v>29</v>
      </c>
      <c r="C1" s="39" t="s">
        <v>29</v>
      </c>
      <c r="D1" s="39" t="s">
        <v>29</v>
      </c>
      <c r="E1" s="39" t="s">
        <v>29</v>
      </c>
      <c r="F1" s="39" t="s">
        <v>29</v>
      </c>
      <c r="G1" s="39" t="s">
        <v>30</v>
      </c>
      <c r="H1" s="39" t="s">
        <v>30</v>
      </c>
      <c r="I1" s="39" t="s">
        <v>30</v>
      </c>
      <c r="J1" s="39" t="s">
        <v>30</v>
      </c>
      <c r="K1" s="39" t="s">
        <v>30</v>
      </c>
    </row>
    <row r="2" spans="1:11">
      <c r="A2" s="38"/>
      <c r="B2" s="40">
        <v>5000</v>
      </c>
      <c r="C2" s="40">
        <v>10000</v>
      </c>
      <c r="D2" s="40">
        <v>15000</v>
      </c>
      <c r="E2" s="40">
        <v>20000</v>
      </c>
      <c r="F2" s="40">
        <v>25000</v>
      </c>
      <c r="G2" s="40">
        <v>5000</v>
      </c>
      <c r="H2" s="40">
        <v>10000</v>
      </c>
      <c r="I2" s="40">
        <v>15000</v>
      </c>
      <c r="J2" s="40">
        <v>20000</v>
      </c>
      <c r="K2" s="40">
        <v>25000</v>
      </c>
    </row>
    <row r="3" spans="1:11">
      <c r="A3" s="41">
        <v>50</v>
      </c>
      <c r="B3" s="42">
        <v>31.43</v>
      </c>
      <c r="C3" s="42">
        <v>60.85</v>
      </c>
      <c r="D3" s="42">
        <v>90.27</v>
      </c>
      <c r="E3" s="42">
        <v>119.7</v>
      </c>
      <c r="F3" s="42">
        <v>149.12</v>
      </c>
      <c r="G3" s="42">
        <v>21.94</v>
      </c>
      <c r="H3" s="42">
        <v>41.88</v>
      </c>
      <c r="I3" s="42">
        <v>61.81</v>
      </c>
      <c r="J3" s="42">
        <v>86.79</v>
      </c>
      <c r="K3" s="42">
        <v>107.98</v>
      </c>
    </row>
    <row r="4" spans="1:11">
      <c r="A4" s="41">
        <v>51</v>
      </c>
      <c r="B4" s="42">
        <v>31.9</v>
      </c>
      <c r="C4" s="42">
        <v>61.79</v>
      </c>
      <c r="D4" s="42">
        <v>91.69</v>
      </c>
      <c r="E4" s="42">
        <v>121.58</v>
      </c>
      <c r="F4" s="42">
        <v>151.47999999999999</v>
      </c>
      <c r="G4" s="42">
        <v>22.44</v>
      </c>
      <c r="H4" s="42">
        <v>42.88</v>
      </c>
      <c r="I4" s="42">
        <v>63.31</v>
      </c>
      <c r="J4" s="42">
        <v>93.14</v>
      </c>
      <c r="K4" s="42">
        <v>115.93</v>
      </c>
    </row>
    <row r="5" spans="1:11">
      <c r="A5" s="41">
        <v>52</v>
      </c>
      <c r="B5" s="42">
        <v>32.43</v>
      </c>
      <c r="C5" s="42">
        <v>62.87</v>
      </c>
      <c r="D5" s="42">
        <v>93.3</v>
      </c>
      <c r="E5" s="42">
        <v>127.84</v>
      </c>
      <c r="F5" s="42">
        <v>159.29</v>
      </c>
      <c r="G5" s="42">
        <v>23.21</v>
      </c>
      <c r="H5" s="42">
        <v>44.42</v>
      </c>
      <c r="I5" s="42">
        <v>65.63</v>
      </c>
      <c r="J5" s="42">
        <v>98.58</v>
      </c>
      <c r="K5" s="42">
        <v>122.72</v>
      </c>
    </row>
    <row r="6" spans="1:11">
      <c r="A6" s="41">
        <v>53</v>
      </c>
      <c r="B6" s="42">
        <v>32.909999999999997</v>
      </c>
      <c r="C6" s="42">
        <v>63.81</v>
      </c>
      <c r="D6" s="42">
        <v>94.71</v>
      </c>
      <c r="E6" s="42">
        <v>135.13999999999999</v>
      </c>
      <c r="F6" s="42">
        <v>168.43</v>
      </c>
      <c r="G6" s="42">
        <v>24.36</v>
      </c>
      <c r="H6" s="42">
        <v>46.71</v>
      </c>
      <c r="I6" s="42">
        <v>69.069999999999993</v>
      </c>
      <c r="J6" s="42">
        <v>103.53</v>
      </c>
      <c r="K6" s="42">
        <v>128.91999999999999</v>
      </c>
    </row>
    <row r="7" spans="1:11">
      <c r="A7" s="41">
        <v>54</v>
      </c>
      <c r="B7" s="42">
        <v>33.450000000000003</v>
      </c>
      <c r="C7" s="42">
        <v>64.900000000000006</v>
      </c>
      <c r="D7" s="42">
        <v>96.35</v>
      </c>
      <c r="E7" s="42">
        <v>141.51</v>
      </c>
      <c r="F7" s="42">
        <v>176.39</v>
      </c>
      <c r="G7" s="42">
        <v>25.38</v>
      </c>
      <c r="H7" s="42">
        <v>48.76</v>
      </c>
      <c r="I7" s="42">
        <v>72.150000000000006</v>
      </c>
      <c r="J7" s="42">
        <v>108.02</v>
      </c>
      <c r="K7" s="42">
        <v>134.52000000000001</v>
      </c>
    </row>
    <row r="8" spans="1:11">
      <c r="A8" s="41">
        <v>55</v>
      </c>
      <c r="B8" s="42">
        <v>34.36</v>
      </c>
      <c r="C8" s="42">
        <v>66.72</v>
      </c>
      <c r="D8" s="42">
        <v>99.08</v>
      </c>
      <c r="E8" s="42">
        <v>147.18</v>
      </c>
      <c r="F8" s="42">
        <v>183.48</v>
      </c>
      <c r="G8" s="42">
        <v>26.3</v>
      </c>
      <c r="H8" s="42">
        <v>50.61</v>
      </c>
      <c r="I8" s="42">
        <v>74.91</v>
      </c>
      <c r="J8" s="42">
        <v>112.02</v>
      </c>
      <c r="K8" s="42">
        <v>139.53</v>
      </c>
    </row>
    <row r="9" spans="1:11">
      <c r="A9" s="41">
        <v>56</v>
      </c>
      <c r="B9" s="42">
        <v>35.33</v>
      </c>
      <c r="C9" s="42">
        <v>68.650000000000006</v>
      </c>
      <c r="D9" s="42">
        <v>101.98</v>
      </c>
      <c r="E9" s="42">
        <v>151.41999999999999</v>
      </c>
      <c r="F9" s="42">
        <v>188.78</v>
      </c>
      <c r="G9" s="42">
        <v>27.33</v>
      </c>
      <c r="H9" s="42">
        <v>52.67</v>
      </c>
      <c r="I9" s="42">
        <v>78</v>
      </c>
      <c r="J9" s="42">
        <v>116.51</v>
      </c>
      <c r="K9" s="42">
        <v>145.13999999999999</v>
      </c>
    </row>
    <row r="10" spans="1:11">
      <c r="A10" s="41">
        <v>57</v>
      </c>
      <c r="B10" s="42">
        <v>36.19</v>
      </c>
      <c r="C10" s="42">
        <v>70.37</v>
      </c>
      <c r="D10" s="42">
        <v>104.56</v>
      </c>
      <c r="E10" s="42">
        <v>155.19</v>
      </c>
      <c r="F10" s="42">
        <v>193.49</v>
      </c>
      <c r="G10" s="42">
        <v>28.13</v>
      </c>
      <c r="H10" s="42">
        <v>54.26</v>
      </c>
      <c r="I10" s="42">
        <v>80.39</v>
      </c>
      <c r="J10" s="42">
        <v>120.03</v>
      </c>
      <c r="K10" s="42">
        <v>149.54</v>
      </c>
    </row>
    <row r="11" spans="1:11">
      <c r="A11" s="41">
        <v>58</v>
      </c>
      <c r="B11" s="42">
        <v>36.950000000000003</v>
      </c>
      <c r="C11" s="42">
        <v>71.91</v>
      </c>
      <c r="D11" s="42">
        <v>106.86</v>
      </c>
      <c r="E11" s="42">
        <v>158.51</v>
      </c>
      <c r="F11" s="42">
        <v>197.64</v>
      </c>
      <c r="G11" s="42">
        <v>28.95</v>
      </c>
      <c r="H11" s="42">
        <v>55.89</v>
      </c>
      <c r="I11" s="42">
        <v>82.84</v>
      </c>
      <c r="J11" s="42">
        <v>123.6</v>
      </c>
      <c r="K11" s="42">
        <v>154</v>
      </c>
    </row>
    <row r="12" spans="1:11">
      <c r="A12" s="41">
        <v>59</v>
      </c>
      <c r="B12" s="42">
        <v>37.479999999999997</v>
      </c>
      <c r="C12" s="42">
        <v>72.97</v>
      </c>
      <c r="D12" s="42">
        <v>108.45</v>
      </c>
      <c r="E12" s="42">
        <v>160.86000000000001</v>
      </c>
      <c r="F12" s="42">
        <v>200.58</v>
      </c>
      <c r="G12" s="42">
        <v>29.7</v>
      </c>
      <c r="H12" s="42">
        <v>57.4</v>
      </c>
      <c r="I12" s="42">
        <v>85.09</v>
      </c>
      <c r="J12" s="42">
        <v>126.88</v>
      </c>
      <c r="K12" s="42">
        <v>158.11000000000001</v>
      </c>
    </row>
    <row r="13" spans="1:11">
      <c r="A13" s="41">
        <v>60</v>
      </c>
      <c r="B13" s="42">
        <v>38.049999999999997</v>
      </c>
      <c r="C13" s="42">
        <v>74.09</v>
      </c>
      <c r="D13" s="42">
        <v>110.14</v>
      </c>
      <c r="E13" s="42">
        <v>162.51</v>
      </c>
      <c r="F13" s="42">
        <v>202.64</v>
      </c>
      <c r="G13" s="42">
        <v>30.3</v>
      </c>
      <c r="H13" s="42">
        <v>58.61</v>
      </c>
      <c r="I13" s="42">
        <v>86.91</v>
      </c>
      <c r="J13" s="42">
        <v>129.49</v>
      </c>
      <c r="K13" s="42">
        <v>161.36000000000001</v>
      </c>
    </row>
    <row r="14" spans="1:11">
      <c r="A14" s="41">
        <v>61</v>
      </c>
      <c r="B14" s="42">
        <v>40.619999999999997</v>
      </c>
      <c r="C14" s="42">
        <v>79.25</v>
      </c>
      <c r="D14" s="42">
        <v>117.87</v>
      </c>
      <c r="E14" s="42">
        <v>174.54</v>
      </c>
      <c r="F14" s="42">
        <v>217.67</v>
      </c>
      <c r="G14" s="42">
        <v>32.08</v>
      </c>
      <c r="H14" s="42">
        <v>62.17</v>
      </c>
      <c r="I14" s="42">
        <v>92.25</v>
      </c>
      <c r="J14" s="42">
        <v>137.28</v>
      </c>
      <c r="K14" s="42">
        <v>171.1</v>
      </c>
    </row>
    <row r="15" spans="1:11">
      <c r="A15" s="41">
        <v>62</v>
      </c>
      <c r="B15" s="42">
        <v>43.22</v>
      </c>
      <c r="C15" s="42">
        <v>84.44</v>
      </c>
      <c r="D15" s="42">
        <v>125.66</v>
      </c>
      <c r="E15" s="42">
        <v>185.87</v>
      </c>
      <c r="F15" s="42">
        <v>231.83</v>
      </c>
      <c r="G15" s="42">
        <v>33.71</v>
      </c>
      <c r="H15" s="42">
        <v>65.42</v>
      </c>
      <c r="I15" s="42">
        <v>97.13</v>
      </c>
      <c r="J15" s="42">
        <v>144.35</v>
      </c>
      <c r="K15" s="42">
        <v>179.94</v>
      </c>
    </row>
    <row r="16" spans="1:11">
      <c r="A16" s="41">
        <v>63</v>
      </c>
      <c r="B16" s="42">
        <v>45.7</v>
      </c>
      <c r="C16" s="42">
        <v>89.4</v>
      </c>
      <c r="D16" s="42">
        <v>133.11000000000001</v>
      </c>
      <c r="E16" s="42">
        <v>196.72</v>
      </c>
      <c r="F16" s="42">
        <v>245.4</v>
      </c>
      <c r="G16" s="42">
        <v>35.119999999999997</v>
      </c>
      <c r="H16" s="42">
        <v>68.23</v>
      </c>
      <c r="I16" s="42">
        <v>101.34</v>
      </c>
      <c r="J16" s="42">
        <v>150.49</v>
      </c>
      <c r="K16" s="42">
        <v>187.61</v>
      </c>
    </row>
    <row r="17" spans="1:11">
      <c r="A17" s="41">
        <v>64</v>
      </c>
      <c r="B17" s="42">
        <v>48.09</v>
      </c>
      <c r="C17" s="42">
        <v>94.18</v>
      </c>
      <c r="D17" s="42">
        <v>140.27000000000001</v>
      </c>
      <c r="E17" s="42">
        <v>207.1</v>
      </c>
      <c r="F17" s="42">
        <v>258.37</v>
      </c>
      <c r="G17" s="42">
        <v>36.19</v>
      </c>
      <c r="H17" s="42">
        <v>70.37</v>
      </c>
      <c r="I17" s="42">
        <v>104.56</v>
      </c>
      <c r="J17" s="42">
        <v>155.19</v>
      </c>
      <c r="K17" s="42">
        <v>193.49</v>
      </c>
    </row>
    <row r="18" spans="1:11">
      <c r="A18" s="41">
        <v>65</v>
      </c>
      <c r="B18" s="42">
        <v>50.42</v>
      </c>
      <c r="C18" s="42">
        <v>98.83</v>
      </c>
      <c r="D18" s="42">
        <v>147.24</v>
      </c>
      <c r="E18" s="42">
        <v>217.26</v>
      </c>
      <c r="F18" s="42">
        <v>271.07</v>
      </c>
      <c r="G18" s="42">
        <v>37.11</v>
      </c>
      <c r="H18" s="42">
        <v>72.22</v>
      </c>
      <c r="I18" s="42">
        <v>107.32</v>
      </c>
      <c r="J18" s="42">
        <v>159.21</v>
      </c>
      <c r="K18" s="42">
        <v>198.51</v>
      </c>
    </row>
    <row r="19" spans="1:11">
      <c r="A19" s="41">
        <v>66</v>
      </c>
      <c r="B19" s="42">
        <v>52.47</v>
      </c>
      <c r="C19" s="42">
        <v>102.93</v>
      </c>
      <c r="D19" s="42">
        <v>153.4</v>
      </c>
      <c r="E19" s="42">
        <v>226.21</v>
      </c>
      <c r="F19" s="42">
        <v>282.27</v>
      </c>
      <c r="G19" s="42">
        <v>39.01</v>
      </c>
      <c r="H19" s="42">
        <v>76.010000000000005</v>
      </c>
      <c r="I19" s="42">
        <v>113.02</v>
      </c>
      <c r="J19" s="42">
        <v>167.45</v>
      </c>
      <c r="K19" s="42">
        <v>208.81</v>
      </c>
    </row>
    <row r="20" spans="1:11">
      <c r="A20" s="41">
        <v>67</v>
      </c>
      <c r="B20" s="42">
        <v>54.25</v>
      </c>
      <c r="C20" s="42">
        <v>106.5</v>
      </c>
      <c r="D20" s="42">
        <v>158.75</v>
      </c>
      <c r="E20" s="42">
        <v>233.99</v>
      </c>
      <c r="F20" s="42">
        <v>291.98</v>
      </c>
      <c r="G20" s="42">
        <v>40.57</v>
      </c>
      <c r="H20" s="42">
        <v>79.150000000000006</v>
      </c>
      <c r="I20" s="42">
        <v>117.72</v>
      </c>
      <c r="J20" s="42">
        <v>174.31</v>
      </c>
      <c r="K20" s="42">
        <v>217.38</v>
      </c>
    </row>
    <row r="21" spans="1:11">
      <c r="A21" s="41">
        <v>68</v>
      </c>
      <c r="B21" s="42">
        <v>55.92</v>
      </c>
      <c r="C21" s="42">
        <v>109.84</v>
      </c>
      <c r="D21" s="42">
        <v>163.76</v>
      </c>
      <c r="E21" s="42">
        <v>241.31</v>
      </c>
      <c r="F21" s="42">
        <v>301.14</v>
      </c>
      <c r="G21" s="42">
        <v>42.03</v>
      </c>
      <c r="H21" s="42">
        <v>82.06</v>
      </c>
      <c r="I21" s="42">
        <v>122.09</v>
      </c>
      <c r="J21" s="42">
        <v>180.66</v>
      </c>
      <c r="K21" s="42">
        <v>225.33</v>
      </c>
    </row>
    <row r="22" spans="1:11">
      <c r="A22" s="41">
        <v>69</v>
      </c>
      <c r="B22" s="42">
        <v>57.39</v>
      </c>
      <c r="C22" s="42">
        <v>112.77</v>
      </c>
      <c r="D22" s="42">
        <v>168.16</v>
      </c>
      <c r="E22" s="42">
        <v>247.66</v>
      </c>
      <c r="F22" s="42">
        <v>309.08</v>
      </c>
      <c r="G22" s="42">
        <v>43.44</v>
      </c>
      <c r="H22" s="42">
        <v>84.88</v>
      </c>
      <c r="I22" s="42">
        <v>126.33</v>
      </c>
      <c r="J22" s="42">
        <v>186.82</v>
      </c>
      <c r="K22" s="42">
        <v>233.02</v>
      </c>
    </row>
    <row r="23" spans="1:11">
      <c r="A23" s="41">
        <v>70</v>
      </c>
      <c r="B23" s="42">
        <v>58.68</v>
      </c>
      <c r="C23" s="42">
        <v>115.36</v>
      </c>
      <c r="D23" s="42">
        <v>172.04</v>
      </c>
      <c r="E23" s="42">
        <v>253.35</v>
      </c>
      <c r="F23" s="42">
        <v>316.19</v>
      </c>
      <c r="G23" s="42">
        <v>44.74</v>
      </c>
      <c r="H23" s="42">
        <v>87.47</v>
      </c>
      <c r="I23" s="42">
        <v>130.19999999999999</v>
      </c>
      <c r="J23" s="42">
        <v>192.47</v>
      </c>
      <c r="K23" s="42">
        <v>240.09</v>
      </c>
    </row>
    <row r="24" spans="1:11">
      <c r="A24" s="41">
        <v>71</v>
      </c>
      <c r="B24" s="42">
        <v>63.98</v>
      </c>
      <c r="C24" s="42">
        <v>125.96</v>
      </c>
      <c r="D24" s="42">
        <v>187.94</v>
      </c>
      <c r="E24" s="42">
        <v>276.47000000000003</v>
      </c>
      <c r="F24" s="42">
        <v>345.09</v>
      </c>
      <c r="G24" s="42">
        <v>49.06</v>
      </c>
      <c r="H24" s="42">
        <v>96.12</v>
      </c>
      <c r="I24" s="42">
        <v>143.18</v>
      </c>
      <c r="J24" s="42">
        <v>211.34</v>
      </c>
      <c r="K24" s="42">
        <v>263.67</v>
      </c>
    </row>
    <row r="25" spans="1:11">
      <c r="A25" s="41">
        <v>72</v>
      </c>
      <c r="B25" s="42">
        <v>69.17</v>
      </c>
      <c r="C25" s="42">
        <v>136.34</v>
      </c>
      <c r="D25" s="42">
        <v>203.51</v>
      </c>
      <c r="E25" s="42">
        <v>299.12</v>
      </c>
      <c r="F25" s="42">
        <v>373.4</v>
      </c>
      <c r="G25" s="42">
        <v>53.17</v>
      </c>
      <c r="H25" s="42">
        <v>104.34</v>
      </c>
      <c r="I25" s="42">
        <v>155.51</v>
      </c>
      <c r="J25" s="42">
        <v>229.28</v>
      </c>
      <c r="K25" s="42">
        <v>286.10000000000002</v>
      </c>
    </row>
    <row r="26" spans="1:11">
      <c r="A26" s="41">
        <v>73</v>
      </c>
      <c r="B26" s="42">
        <v>74.040000000000006</v>
      </c>
      <c r="C26" s="42">
        <v>146.08000000000001</v>
      </c>
      <c r="D26" s="42">
        <v>218.11</v>
      </c>
      <c r="E26" s="42">
        <v>320.36</v>
      </c>
      <c r="F26" s="42">
        <v>399.94</v>
      </c>
      <c r="G26" s="42">
        <v>57.11</v>
      </c>
      <c r="H26" s="42">
        <v>112.22</v>
      </c>
      <c r="I26" s="42">
        <v>167.33</v>
      </c>
      <c r="J26" s="42">
        <v>246.5</v>
      </c>
      <c r="K26" s="42">
        <v>307.62</v>
      </c>
    </row>
    <row r="27" spans="1:11">
      <c r="A27" s="41">
        <v>74</v>
      </c>
      <c r="B27" s="42">
        <v>78.58</v>
      </c>
      <c r="C27" s="42">
        <v>155.16999999999999</v>
      </c>
      <c r="D27" s="42">
        <v>231.75</v>
      </c>
      <c r="E27" s="42">
        <v>340.17</v>
      </c>
      <c r="F27" s="42">
        <v>424.71</v>
      </c>
      <c r="G27" s="42">
        <v>60.74</v>
      </c>
      <c r="H27" s="42">
        <v>119.48</v>
      </c>
      <c r="I27" s="42">
        <v>178.22</v>
      </c>
      <c r="J27" s="42">
        <v>262.31</v>
      </c>
      <c r="K27" s="42">
        <v>327.39</v>
      </c>
    </row>
    <row r="28" spans="1:11">
      <c r="A28" s="41">
        <v>75</v>
      </c>
      <c r="B28" s="42">
        <v>82.47</v>
      </c>
      <c r="C28" s="42">
        <v>162.94999999999999</v>
      </c>
      <c r="D28" s="42">
        <v>243.42</v>
      </c>
      <c r="E28" s="42">
        <v>357.15</v>
      </c>
      <c r="F28" s="42">
        <v>445.94</v>
      </c>
      <c r="G28" s="42">
        <v>63.98</v>
      </c>
      <c r="H28" s="42">
        <v>125.96</v>
      </c>
      <c r="I28" s="42">
        <v>187.94</v>
      </c>
      <c r="J28" s="42">
        <v>276.47000000000003</v>
      </c>
      <c r="K28" s="42">
        <v>345.09</v>
      </c>
    </row>
    <row r="29" spans="1:11">
      <c r="A29" s="41">
        <v>76</v>
      </c>
      <c r="B29" s="42">
        <v>96.25</v>
      </c>
      <c r="C29" s="42">
        <v>190.5</v>
      </c>
      <c r="D29" s="42">
        <v>284.75</v>
      </c>
      <c r="E29" s="42">
        <v>417.32</v>
      </c>
      <c r="F29" s="42">
        <v>521.15</v>
      </c>
      <c r="G29" s="42">
        <v>73.17</v>
      </c>
      <c r="H29" s="42">
        <v>144.33000000000001</v>
      </c>
      <c r="I29" s="42">
        <v>215.5</v>
      </c>
      <c r="J29" s="42">
        <v>316.57</v>
      </c>
      <c r="K29" s="42">
        <v>395.21</v>
      </c>
    </row>
    <row r="30" spans="1:11">
      <c r="A30" s="41">
        <v>77</v>
      </c>
      <c r="B30" s="42">
        <v>109.5</v>
      </c>
      <c r="C30" s="42">
        <v>217.01</v>
      </c>
      <c r="D30" s="42">
        <v>324.51</v>
      </c>
      <c r="E30" s="42">
        <v>451.53</v>
      </c>
      <c r="F30" s="42">
        <v>563.91</v>
      </c>
      <c r="G30" s="42">
        <v>81.83</v>
      </c>
      <c r="H30" s="42">
        <v>161.66</v>
      </c>
      <c r="I30" s="42">
        <v>241.49</v>
      </c>
      <c r="J30" s="42">
        <v>354.32</v>
      </c>
      <c r="K30" s="42">
        <v>442.4</v>
      </c>
    </row>
    <row r="31" spans="1:11">
      <c r="A31" s="41">
        <v>78</v>
      </c>
      <c r="B31" s="42">
        <v>112.9</v>
      </c>
      <c r="C31" s="42">
        <v>223.8</v>
      </c>
      <c r="D31" s="42">
        <v>334.71</v>
      </c>
      <c r="E31" s="42">
        <v>451.99</v>
      </c>
      <c r="F31" s="42">
        <v>564.49</v>
      </c>
      <c r="G31" s="42">
        <v>89.93</v>
      </c>
      <c r="H31" s="42">
        <v>177.87</v>
      </c>
      <c r="I31" s="42">
        <v>265.8</v>
      </c>
      <c r="J31" s="42">
        <v>389.71</v>
      </c>
      <c r="K31" s="42">
        <v>486.64</v>
      </c>
    </row>
    <row r="32" spans="1:11">
      <c r="A32" s="41">
        <v>79</v>
      </c>
      <c r="B32" s="42">
        <v>113.13</v>
      </c>
      <c r="C32" s="42">
        <v>224.25</v>
      </c>
      <c r="D32" s="42">
        <v>335.38</v>
      </c>
      <c r="E32" s="42">
        <v>452.45</v>
      </c>
      <c r="F32" s="42">
        <v>565.05999999999995</v>
      </c>
      <c r="G32" s="42">
        <v>97.5</v>
      </c>
      <c r="H32" s="42">
        <v>193</v>
      </c>
      <c r="I32" s="42">
        <v>288.51</v>
      </c>
      <c r="J32" s="42">
        <v>422.74</v>
      </c>
      <c r="K32" s="42">
        <v>527.91999999999996</v>
      </c>
    </row>
    <row r="33" spans="1:11">
      <c r="A33" s="41">
        <v>80</v>
      </c>
      <c r="B33" s="42">
        <v>113.36</v>
      </c>
      <c r="C33" s="42">
        <v>224.71</v>
      </c>
      <c r="D33" s="42">
        <v>336.07</v>
      </c>
      <c r="E33" s="42">
        <v>452.9</v>
      </c>
      <c r="F33" s="42">
        <v>565.62</v>
      </c>
      <c r="G33" s="42">
        <v>104.21</v>
      </c>
      <c r="H33" s="42">
        <v>206.42</v>
      </c>
      <c r="I33" s="42">
        <v>308.62</v>
      </c>
      <c r="J33" s="42">
        <v>447.41</v>
      </c>
      <c r="K33" s="42">
        <v>558.76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27442-0D04-48E6-A7D2-57ABC2F10ED2}">
  <dimension ref="A1:E37"/>
  <sheetViews>
    <sheetView topLeftCell="A21" workbookViewId="0">
      <selection activeCell="B25" sqref="B25"/>
    </sheetView>
  </sheetViews>
  <sheetFormatPr defaultRowHeight="15"/>
  <cols>
    <col min="1" max="1" width="6.85546875" customWidth="1"/>
    <col min="2" max="2" width="13.7109375" bestFit="1" customWidth="1"/>
    <col min="3" max="3" width="12.85546875" customWidth="1"/>
    <col min="4" max="4" width="15.28515625" bestFit="1" customWidth="1"/>
    <col min="5" max="5" width="11.7109375" bestFit="1" customWidth="1"/>
  </cols>
  <sheetData>
    <row r="1" spans="1:5">
      <c r="A1" s="43" t="s">
        <v>23</v>
      </c>
      <c r="B1" s="10" t="s">
        <v>31</v>
      </c>
      <c r="C1" s="30" t="s">
        <v>32</v>
      </c>
      <c r="D1" s="30" t="s">
        <v>33</v>
      </c>
      <c r="E1" s="30" t="s">
        <v>34</v>
      </c>
    </row>
    <row r="2" spans="1:5">
      <c r="A2" s="44">
        <v>50</v>
      </c>
      <c r="B2" s="45">
        <v>32.96</v>
      </c>
      <c r="C2" s="45">
        <v>43.12</v>
      </c>
      <c r="D2" s="45">
        <v>27.3</v>
      </c>
      <c r="E2" s="45">
        <v>32.549999999999997</v>
      </c>
    </row>
    <row r="3" spans="1:5">
      <c r="A3" s="44">
        <v>51</v>
      </c>
      <c r="B3" s="45">
        <v>34.9</v>
      </c>
      <c r="C3" s="45">
        <v>45.03</v>
      </c>
      <c r="D3" s="45">
        <v>29.36</v>
      </c>
      <c r="E3" s="45">
        <v>33.619999999999997</v>
      </c>
    </row>
    <row r="4" spans="1:5">
      <c r="A4" s="44">
        <v>52</v>
      </c>
      <c r="B4" s="45">
        <v>36.67</v>
      </c>
      <c r="C4" s="45">
        <v>47.09</v>
      </c>
      <c r="D4" s="45">
        <v>30.58</v>
      </c>
      <c r="E4" s="45">
        <v>35.340000000000003</v>
      </c>
    </row>
    <row r="5" spans="1:5">
      <c r="A5" s="44">
        <v>53</v>
      </c>
      <c r="B5" s="45">
        <v>39.14</v>
      </c>
      <c r="C5" s="45">
        <v>49.42</v>
      </c>
      <c r="D5" s="45">
        <v>32.21</v>
      </c>
      <c r="E5" s="45">
        <v>37.29</v>
      </c>
    </row>
    <row r="6" spans="1:5">
      <c r="A6" s="44">
        <v>54</v>
      </c>
      <c r="B6" s="45">
        <v>40.94</v>
      </c>
      <c r="C6" s="45">
        <v>51.61</v>
      </c>
      <c r="D6" s="45">
        <v>33.74</v>
      </c>
      <c r="E6" s="45">
        <v>38.729999999999997</v>
      </c>
    </row>
    <row r="7" spans="1:5">
      <c r="A7" s="44">
        <v>55</v>
      </c>
      <c r="B7" s="45">
        <v>42.49</v>
      </c>
      <c r="C7" s="45">
        <v>53.82</v>
      </c>
      <c r="D7" s="45">
        <v>35.28</v>
      </c>
      <c r="E7" s="45">
        <v>40.94</v>
      </c>
    </row>
    <row r="8" spans="1:5">
      <c r="A8" s="44">
        <v>56</v>
      </c>
      <c r="B8" s="45">
        <v>44.18</v>
      </c>
      <c r="C8" s="45">
        <v>56.05</v>
      </c>
      <c r="D8" s="45">
        <v>36.42</v>
      </c>
      <c r="E8" s="45">
        <v>42.23</v>
      </c>
    </row>
    <row r="9" spans="1:5">
      <c r="A9" s="44">
        <v>57</v>
      </c>
      <c r="B9" s="45">
        <v>45.32</v>
      </c>
      <c r="C9" s="45">
        <v>58.29</v>
      </c>
      <c r="D9" s="45">
        <v>37.700000000000003</v>
      </c>
      <c r="E9" s="45">
        <v>44.2</v>
      </c>
    </row>
    <row r="10" spans="1:5">
      <c r="A10" s="44">
        <v>58</v>
      </c>
      <c r="B10" s="45">
        <v>47.64</v>
      </c>
      <c r="C10" s="45">
        <v>61.08</v>
      </c>
      <c r="D10" s="45">
        <v>38.770000000000003</v>
      </c>
      <c r="E10" s="45">
        <v>45.91</v>
      </c>
    </row>
    <row r="11" spans="1:5">
      <c r="A11" s="44">
        <v>59</v>
      </c>
      <c r="B11" s="45">
        <v>49.5</v>
      </c>
      <c r="C11" s="45">
        <v>63.35</v>
      </c>
      <c r="D11" s="45">
        <v>40.17</v>
      </c>
      <c r="E11" s="45">
        <v>47.7</v>
      </c>
    </row>
    <row r="12" spans="1:5">
      <c r="A12" s="44">
        <v>60</v>
      </c>
      <c r="B12" s="45">
        <v>50.47</v>
      </c>
      <c r="C12" s="45">
        <v>65.819999999999993</v>
      </c>
      <c r="D12" s="45">
        <v>40.479999999999997</v>
      </c>
      <c r="E12" s="45">
        <v>49.01</v>
      </c>
    </row>
    <row r="13" spans="1:5">
      <c r="A13" s="44">
        <v>61</v>
      </c>
      <c r="B13" s="45">
        <v>53.38</v>
      </c>
      <c r="C13" s="45">
        <v>70.040000000000006</v>
      </c>
      <c r="D13" s="45">
        <v>42.85</v>
      </c>
      <c r="E13" s="45">
        <v>51.46</v>
      </c>
    </row>
    <row r="14" spans="1:5">
      <c r="A14" s="44">
        <v>62</v>
      </c>
      <c r="B14" s="45">
        <v>56.09</v>
      </c>
      <c r="C14" s="45">
        <v>73.13</v>
      </c>
      <c r="D14" s="45">
        <v>44.5</v>
      </c>
      <c r="E14" s="45">
        <v>54.08</v>
      </c>
    </row>
    <row r="15" spans="1:5">
      <c r="A15" s="44">
        <v>63</v>
      </c>
      <c r="B15" s="45">
        <v>58.71</v>
      </c>
      <c r="C15" s="45">
        <v>76.010000000000005</v>
      </c>
      <c r="D15" s="45">
        <v>46.44</v>
      </c>
      <c r="E15" s="45">
        <v>56.85</v>
      </c>
    </row>
    <row r="16" spans="1:5">
      <c r="A16" s="44">
        <v>64</v>
      </c>
      <c r="B16" s="45">
        <v>61.8</v>
      </c>
      <c r="C16" s="45">
        <v>79.64</v>
      </c>
      <c r="D16" s="45">
        <v>48.5</v>
      </c>
      <c r="E16" s="45">
        <v>59.78</v>
      </c>
    </row>
    <row r="17" spans="1:5">
      <c r="A17" s="44">
        <v>65</v>
      </c>
      <c r="B17" s="45">
        <v>64.89</v>
      </c>
      <c r="C17" s="45">
        <v>83.43</v>
      </c>
      <c r="D17" s="45">
        <v>50.47</v>
      </c>
      <c r="E17" s="45">
        <v>62.57</v>
      </c>
    </row>
    <row r="18" spans="1:5">
      <c r="A18" s="44">
        <v>66</v>
      </c>
      <c r="B18" s="45">
        <v>69.239999999999995</v>
      </c>
      <c r="C18" s="45">
        <v>88.51</v>
      </c>
      <c r="D18" s="45">
        <v>53.59</v>
      </c>
      <c r="E18" s="45">
        <v>65.88</v>
      </c>
    </row>
    <row r="19" spans="1:5">
      <c r="A19" s="44">
        <v>67</v>
      </c>
      <c r="B19" s="45">
        <v>73.78</v>
      </c>
      <c r="C19" s="45">
        <v>93.22</v>
      </c>
      <c r="D19" s="45">
        <v>56.34</v>
      </c>
      <c r="E19" s="45">
        <v>69.33</v>
      </c>
    </row>
    <row r="20" spans="1:5">
      <c r="A20" s="44">
        <v>68</v>
      </c>
      <c r="B20" s="45">
        <v>78.7</v>
      </c>
      <c r="C20" s="45">
        <v>98.88</v>
      </c>
      <c r="D20" s="45">
        <v>59.45</v>
      </c>
      <c r="E20" s="45">
        <v>72.099999999999994</v>
      </c>
    </row>
    <row r="21" spans="1:5">
      <c r="A21" s="44">
        <v>69</v>
      </c>
      <c r="B21" s="45">
        <v>83.12</v>
      </c>
      <c r="C21" s="45">
        <v>104.55</v>
      </c>
      <c r="D21" s="45">
        <v>62.52</v>
      </c>
      <c r="E21" s="45">
        <v>77.12</v>
      </c>
    </row>
    <row r="22" spans="1:5">
      <c r="A22" s="44">
        <v>70</v>
      </c>
      <c r="B22" s="45">
        <v>86.53</v>
      </c>
      <c r="C22" s="45">
        <v>108.72</v>
      </c>
      <c r="D22" s="45">
        <v>65.61</v>
      </c>
      <c r="E22" s="45">
        <v>79.02</v>
      </c>
    </row>
    <row r="23" spans="1:5">
      <c r="A23" s="44">
        <v>71</v>
      </c>
      <c r="B23" s="45">
        <v>92.03</v>
      </c>
      <c r="C23" s="45">
        <v>115.15</v>
      </c>
      <c r="D23" s="45">
        <v>69.53</v>
      </c>
      <c r="E23" s="45">
        <v>83.2</v>
      </c>
    </row>
    <row r="24" spans="1:5">
      <c r="A24" s="44">
        <v>72</v>
      </c>
      <c r="B24" s="45">
        <v>97.83</v>
      </c>
      <c r="C24" s="45">
        <v>121.93</v>
      </c>
      <c r="D24" s="45">
        <v>73.650000000000006</v>
      </c>
      <c r="E24" s="45">
        <v>87.61</v>
      </c>
    </row>
    <row r="25" spans="1:5">
      <c r="A25" s="44">
        <v>73</v>
      </c>
      <c r="B25" s="45">
        <v>104.4</v>
      </c>
      <c r="C25" s="45">
        <v>129.6</v>
      </c>
      <c r="D25" s="45">
        <v>78.84</v>
      </c>
      <c r="E25" s="45">
        <v>92.61</v>
      </c>
    </row>
    <row r="26" spans="1:5">
      <c r="A26" s="44">
        <v>74</v>
      </c>
      <c r="B26" s="45">
        <v>111.76</v>
      </c>
      <c r="C26" s="45">
        <v>137.51</v>
      </c>
      <c r="D26" s="45">
        <v>83.69</v>
      </c>
      <c r="E26" s="45">
        <v>97.75</v>
      </c>
    </row>
    <row r="27" spans="1:5">
      <c r="A27" s="44">
        <v>75</v>
      </c>
      <c r="B27" s="45">
        <v>119.74</v>
      </c>
      <c r="C27" s="45">
        <v>147.55000000000001</v>
      </c>
      <c r="D27" s="45">
        <v>89.87</v>
      </c>
      <c r="E27" s="45">
        <v>104.29</v>
      </c>
    </row>
    <row r="28" spans="1:5">
      <c r="A28" s="44">
        <v>76</v>
      </c>
      <c r="B28" s="45">
        <v>128.75</v>
      </c>
      <c r="C28" s="45">
        <v>157.59</v>
      </c>
      <c r="D28" s="45">
        <v>95.83</v>
      </c>
      <c r="E28" s="45">
        <v>112.49</v>
      </c>
    </row>
    <row r="29" spans="1:5">
      <c r="A29" s="44">
        <v>77</v>
      </c>
      <c r="B29" s="45">
        <v>138.02000000000001</v>
      </c>
      <c r="C29" s="45">
        <v>168.1</v>
      </c>
      <c r="D29" s="45">
        <v>101.29</v>
      </c>
      <c r="E29" s="45">
        <v>120</v>
      </c>
    </row>
    <row r="30" spans="1:5">
      <c r="A30" s="44">
        <v>78</v>
      </c>
      <c r="B30" s="45">
        <v>150.28</v>
      </c>
      <c r="C30" s="45">
        <v>180.87</v>
      </c>
      <c r="D30" s="45">
        <v>108.15</v>
      </c>
      <c r="E30" s="45">
        <v>127.85</v>
      </c>
    </row>
    <row r="31" spans="1:5">
      <c r="A31" s="44">
        <v>79</v>
      </c>
      <c r="B31" s="45">
        <v>161.91999999999999</v>
      </c>
      <c r="C31" s="45">
        <v>191.58</v>
      </c>
      <c r="D31" s="45">
        <v>116.6</v>
      </c>
      <c r="E31" s="45">
        <v>139.06</v>
      </c>
    </row>
    <row r="32" spans="1:5">
      <c r="A32" s="44">
        <v>80</v>
      </c>
      <c r="B32" s="45">
        <v>174.07</v>
      </c>
      <c r="C32" s="45">
        <v>203.53</v>
      </c>
      <c r="D32" s="45">
        <v>126.18</v>
      </c>
      <c r="E32" s="45">
        <v>150.62</v>
      </c>
    </row>
    <row r="33" spans="1:5">
      <c r="A33" s="46">
        <v>81</v>
      </c>
      <c r="B33" s="47">
        <v>187.87</v>
      </c>
      <c r="C33" s="47">
        <v>216.3</v>
      </c>
      <c r="D33" s="47">
        <v>135.75</v>
      </c>
      <c r="E33" s="47">
        <v>164.14</v>
      </c>
    </row>
    <row r="34" spans="1:5">
      <c r="A34" s="48">
        <v>82</v>
      </c>
      <c r="B34" s="49">
        <v>202.91</v>
      </c>
      <c r="C34" s="49">
        <v>229.56</v>
      </c>
      <c r="D34" s="49">
        <v>146.26</v>
      </c>
      <c r="E34" s="49">
        <v>179.51</v>
      </c>
    </row>
    <row r="35" spans="1:5">
      <c r="A35" s="48">
        <v>83</v>
      </c>
      <c r="B35" s="49">
        <v>217.02</v>
      </c>
      <c r="C35" s="49">
        <v>246.08</v>
      </c>
      <c r="D35" s="49">
        <v>158.11000000000001</v>
      </c>
      <c r="E35" s="49">
        <v>195.69</v>
      </c>
    </row>
    <row r="36" spans="1:5">
      <c r="A36" s="48">
        <v>84</v>
      </c>
      <c r="B36" s="49">
        <v>232.78</v>
      </c>
      <c r="C36" s="49">
        <v>266.64</v>
      </c>
      <c r="D36" s="49">
        <v>170.98</v>
      </c>
      <c r="E36" s="49">
        <v>214.76</v>
      </c>
    </row>
    <row r="37" spans="1:5">
      <c r="A37" s="44">
        <v>85</v>
      </c>
      <c r="B37" s="45">
        <v>248.49</v>
      </c>
      <c r="C37" s="45">
        <v>289.69</v>
      </c>
      <c r="D37" s="45">
        <v>185.66</v>
      </c>
      <c r="E37" s="45">
        <v>236.13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4F38-C699-4219-874D-41F956927134}">
  <dimension ref="A1:E37"/>
  <sheetViews>
    <sheetView workbookViewId="0">
      <selection activeCell="B25" sqref="B25"/>
    </sheetView>
  </sheetViews>
  <sheetFormatPr defaultRowHeight="15"/>
  <cols>
    <col min="2" max="2" width="14.28515625" customWidth="1"/>
    <col min="3" max="3" width="14.85546875" customWidth="1"/>
    <col min="4" max="4" width="15.28515625" bestFit="1" customWidth="1"/>
    <col min="5" max="5" width="14.42578125" customWidth="1"/>
  </cols>
  <sheetData>
    <row r="1" spans="1:5">
      <c r="A1" s="43" t="s">
        <v>37</v>
      </c>
      <c r="B1" s="10" t="s">
        <v>31</v>
      </c>
      <c r="C1" s="30" t="s">
        <v>32</v>
      </c>
      <c r="D1" s="30" t="s">
        <v>33</v>
      </c>
      <c r="E1" s="30" t="s">
        <v>34</v>
      </c>
    </row>
    <row r="2" spans="1:5">
      <c r="A2" s="46">
        <v>50</v>
      </c>
      <c r="B2" s="47">
        <v>40.1</v>
      </c>
      <c r="C2" s="47">
        <v>60.54</v>
      </c>
      <c r="D2" s="47">
        <v>31.6</v>
      </c>
      <c r="E2" s="47">
        <v>39.42</v>
      </c>
    </row>
    <row r="3" spans="1:5">
      <c r="A3" s="48">
        <v>51</v>
      </c>
      <c r="B3" s="49">
        <v>42.35</v>
      </c>
      <c r="C3" s="49">
        <v>63.59</v>
      </c>
      <c r="D3" s="49">
        <v>33.24</v>
      </c>
      <c r="E3" s="49">
        <v>41.7</v>
      </c>
    </row>
    <row r="4" spans="1:5">
      <c r="A4" s="48">
        <v>52</v>
      </c>
      <c r="B4" s="49">
        <v>44.61</v>
      </c>
      <c r="C4" s="49">
        <v>66.64</v>
      </c>
      <c r="D4" s="49">
        <v>34.880000000000003</v>
      </c>
      <c r="E4" s="49">
        <v>43.99</v>
      </c>
    </row>
    <row r="5" spans="1:5">
      <c r="A5" s="48">
        <v>53</v>
      </c>
      <c r="B5" s="49">
        <v>47.16</v>
      </c>
      <c r="C5" s="49">
        <v>70.09</v>
      </c>
      <c r="D5" s="49">
        <v>36.729999999999997</v>
      </c>
      <c r="E5" s="49">
        <v>46.58</v>
      </c>
    </row>
    <row r="6" spans="1:5">
      <c r="A6" s="48">
        <v>54</v>
      </c>
      <c r="B6" s="49">
        <v>49.72</v>
      </c>
      <c r="C6" s="49">
        <v>73.540000000000006</v>
      </c>
      <c r="D6" s="49">
        <v>38.58</v>
      </c>
      <c r="E6" s="49">
        <v>49.16</v>
      </c>
    </row>
    <row r="7" spans="1:5">
      <c r="A7" s="48">
        <v>55</v>
      </c>
      <c r="B7" s="49">
        <v>52.27</v>
      </c>
      <c r="C7" s="49">
        <v>76.989999999999995</v>
      </c>
      <c r="D7" s="49">
        <v>40.43</v>
      </c>
      <c r="E7" s="49">
        <v>51.76</v>
      </c>
    </row>
    <row r="8" spans="1:5">
      <c r="A8" s="48">
        <v>56</v>
      </c>
      <c r="B8" s="49">
        <v>54.51</v>
      </c>
      <c r="C8" s="49">
        <v>80.069999999999993</v>
      </c>
      <c r="D8" s="49">
        <v>42.11</v>
      </c>
      <c r="E8" s="49">
        <v>54.62</v>
      </c>
    </row>
    <row r="9" spans="1:5">
      <c r="A9" s="48">
        <v>57</v>
      </c>
      <c r="B9" s="49">
        <v>56.86</v>
      </c>
      <c r="C9" s="49">
        <v>83.32</v>
      </c>
      <c r="D9" s="49">
        <v>43.88</v>
      </c>
      <c r="E9" s="49">
        <v>57.63</v>
      </c>
    </row>
    <row r="10" spans="1:5">
      <c r="A10" s="48">
        <v>58</v>
      </c>
      <c r="B10" s="49">
        <v>59.33</v>
      </c>
      <c r="C10" s="49">
        <v>86.73</v>
      </c>
      <c r="D10" s="49">
        <v>45.73</v>
      </c>
      <c r="E10" s="49">
        <v>60.79</v>
      </c>
    </row>
    <row r="11" spans="1:5">
      <c r="A11" s="48">
        <v>59</v>
      </c>
      <c r="B11" s="49">
        <v>61.91</v>
      </c>
      <c r="C11" s="49">
        <v>90.3</v>
      </c>
      <c r="D11" s="49">
        <v>47.68</v>
      </c>
      <c r="E11" s="49">
        <v>64.11</v>
      </c>
    </row>
    <row r="12" spans="1:5">
      <c r="A12" s="48">
        <v>60</v>
      </c>
      <c r="B12" s="49">
        <v>63.91</v>
      </c>
      <c r="C12" s="49">
        <v>93.06</v>
      </c>
      <c r="D12" s="49">
        <v>49.18</v>
      </c>
      <c r="E12" s="49">
        <v>66.67</v>
      </c>
    </row>
    <row r="13" spans="1:5">
      <c r="A13" s="48">
        <v>61</v>
      </c>
      <c r="B13" s="49">
        <v>67.319999999999993</v>
      </c>
      <c r="C13" s="49">
        <v>97.77</v>
      </c>
      <c r="D13" s="49">
        <v>51.75</v>
      </c>
      <c r="E13" s="49">
        <v>71.040000000000006</v>
      </c>
    </row>
    <row r="14" spans="1:5">
      <c r="A14" s="48">
        <v>62</v>
      </c>
      <c r="B14" s="49">
        <v>71.08</v>
      </c>
      <c r="C14" s="49">
        <v>102.96</v>
      </c>
      <c r="D14" s="49">
        <v>54.58</v>
      </c>
      <c r="E14" s="49">
        <v>75.86</v>
      </c>
    </row>
    <row r="15" spans="1:5">
      <c r="A15" s="48">
        <v>63</v>
      </c>
      <c r="B15" s="49">
        <v>74.959999999999994</v>
      </c>
      <c r="C15" s="49">
        <v>108.31</v>
      </c>
      <c r="D15" s="49">
        <v>57.49</v>
      </c>
      <c r="E15" s="49">
        <v>80.83</v>
      </c>
    </row>
    <row r="16" spans="1:5">
      <c r="A16" s="48">
        <v>64</v>
      </c>
      <c r="B16" s="49">
        <v>79.08</v>
      </c>
      <c r="C16" s="49">
        <v>113.99</v>
      </c>
      <c r="D16" s="49">
        <v>60.58</v>
      </c>
      <c r="E16" s="49">
        <v>86.11</v>
      </c>
    </row>
    <row r="17" spans="1:5">
      <c r="A17" s="48">
        <v>65</v>
      </c>
      <c r="B17" s="49">
        <v>83.43</v>
      </c>
      <c r="C17" s="49">
        <v>120</v>
      </c>
      <c r="D17" s="49">
        <v>63.86</v>
      </c>
      <c r="E17" s="49">
        <v>91.67</v>
      </c>
    </row>
    <row r="18" spans="1:5">
      <c r="A18" s="48">
        <v>66</v>
      </c>
      <c r="B18" s="49">
        <v>89.84</v>
      </c>
      <c r="C18" s="49">
        <v>127.56</v>
      </c>
      <c r="D18" s="49">
        <v>68.27</v>
      </c>
      <c r="E18" s="49">
        <v>97.27</v>
      </c>
    </row>
    <row r="19" spans="1:5">
      <c r="A19" s="48">
        <v>67</v>
      </c>
      <c r="B19" s="49">
        <v>96.82</v>
      </c>
      <c r="C19" s="49">
        <v>135.81</v>
      </c>
      <c r="D19" s="49">
        <v>73.08</v>
      </c>
      <c r="E19" s="49">
        <v>103.39</v>
      </c>
    </row>
    <row r="20" spans="1:5">
      <c r="A20" s="48">
        <v>68</v>
      </c>
      <c r="B20" s="49">
        <v>104.25</v>
      </c>
      <c r="C20" s="49">
        <v>144.57</v>
      </c>
      <c r="D20" s="49">
        <v>78.19</v>
      </c>
      <c r="E20" s="49">
        <v>109.89</v>
      </c>
    </row>
    <row r="21" spans="1:5">
      <c r="A21" s="48">
        <v>69</v>
      </c>
      <c r="B21" s="49">
        <v>112.25</v>
      </c>
      <c r="C21" s="49">
        <v>154.02000000000001</v>
      </c>
      <c r="D21" s="49">
        <v>83.7</v>
      </c>
      <c r="E21" s="49">
        <v>115.36</v>
      </c>
    </row>
    <row r="22" spans="1:5">
      <c r="A22" s="48">
        <v>70</v>
      </c>
      <c r="B22" s="49">
        <v>116.03</v>
      </c>
      <c r="C22" s="49">
        <v>158.49</v>
      </c>
      <c r="D22" s="49">
        <v>86.3</v>
      </c>
      <c r="E22" s="49">
        <v>120.21</v>
      </c>
    </row>
    <row r="23" spans="1:5">
      <c r="A23" s="48">
        <v>71</v>
      </c>
      <c r="B23" s="49">
        <v>123.89</v>
      </c>
      <c r="C23" s="49">
        <v>167.77</v>
      </c>
      <c r="D23" s="49">
        <v>91.71</v>
      </c>
      <c r="E23" s="49">
        <v>127.72</v>
      </c>
    </row>
    <row r="24" spans="1:5">
      <c r="A24" s="48">
        <v>72</v>
      </c>
      <c r="B24" s="49">
        <v>133.9</v>
      </c>
      <c r="C24" s="49">
        <v>178.25</v>
      </c>
      <c r="D24" s="49">
        <v>97.82</v>
      </c>
      <c r="E24" s="49">
        <v>134.86000000000001</v>
      </c>
    </row>
    <row r="25" spans="1:5">
      <c r="A25" s="48">
        <v>73</v>
      </c>
      <c r="B25" s="49">
        <v>144.19999999999999</v>
      </c>
      <c r="C25" s="49">
        <v>190.28</v>
      </c>
      <c r="D25" s="49">
        <v>104.83</v>
      </c>
      <c r="E25" s="49">
        <v>143.78</v>
      </c>
    </row>
    <row r="26" spans="1:5">
      <c r="A26" s="48">
        <v>74</v>
      </c>
      <c r="B26" s="49">
        <v>155.02000000000001</v>
      </c>
      <c r="C26" s="49">
        <v>204.35</v>
      </c>
      <c r="D26" s="49">
        <v>113.3</v>
      </c>
      <c r="E26" s="49">
        <v>152.18</v>
      </c>
    </row>
    <row r="27" spans="1:5">
      <c r="A27" s="48">
        <v>75</v>
      </c>
      <c r="B27" s="49">
        <v>166.09</v>
      </c>
      <c r="C27" s="49">
        <v>217.59</v>
      </c>
      <c r="D27" s="49">
        <v>120.77</v>
      </c>
      <c r="E27" s="49">
        <v>164.03</v>
      </c>
    </row>
    <row r="28" spans="1:5">
      <c r="A28" s="48">
        <v>76</v>
      </c>
      <c r="B28" s="49">
        <v>179.53</v>
      </c>
      <c r="C28" s="49">
        <v>237.11</v>
      </c>
      <c r="D28" s="49">
        <v>129.78</v>
      </c>
      <c r="E28" s="49">
        <v>174.29</v>
      </c>
    </row>
    <row r="29" spans="1:5">
      <c r="A29" s="48">
        <v>77</v>
      </c>
      <c r="B29" s="49">
        <v>196.73</v>
      </c>
      <c r="C29" s="49">
        <v>255.76</v>
      </c>
      <c r="D29" s="49">
        <v>140.6</v>
      </c>
      <c r="E29" s="49">
        <v>180.79</v>
      </c>
    </row>
    <row r="30" spans="1:5">
      <c r="A30" s="48">
        <v>78</v>
      </c>
      <c r="B30" s="49">
        <v>215.27</v>
      </c>
      <c r="C30" s="49">
        <v>274.12</v>
      </c>
      <c r="D30" s="49">
        <v>154.5</v>
      </c>
      <c r="E30" s="49">
        <v>193.5</v>
      </c>
    </row>
    <row r="31" spans="1:5">
      <c r="A31" s="48">
        <v>79</v>
      </c>
      <c r="B31" s="49">
        <v>234.33</v>
      </c>
      <c r="C31" s="49">
        <v>295.70999999999998</v>
      </c>
      <c r="D31" s="49">
        <v>167.38</v>
      </c>
      <c r="E31" s="49">
        <v>207.22</v>
      </c>
    </row>
    <row r="32" spans="1:5">
      <c r="A32" s="48">
        <v>80</v>
      </c>
      <c r="B32" s="49">
        <v>254.2</v>
      </c>
      <c r="C32" s="49">
        <v>313.12</v>
      </c>
      <c r="D32" s="49">
        <v>182.31</v>
      </c>
      <c r="E32" s="49">
        <v>224.54</v>
      </c>
    </row>
    <row r="33" spans="1:5">
      <c r="A33" s="48">
        <v>81</v>
      </c>
      <c r="B33" s="49">
        <v>269.86</v>
      </c>
      <c r="C33" s="49">
        <v>316.14999999999998</v>
      </c>
      <c r="D33" s="49">
        <v>197.76</v>
      </c>
      <c r="E33" s="49">
        <v>238.85</v>
      </c>
    </row>
    <row r="34" spans="1:5">
      <c r="A34" s="48">
        <v>82</v>
      </c>
      <c r="B34" s="49">
        <v>283.87</v>
      </c>
      <c r="C34" s="49">
        <v>320.54000000000002</v>
      </c>
      <c r="D34" s="49">
        <v>213.21</v>
      </c>
      <c r="E34" s="49">
        <v>258.06</v>
      </c>
    </row>
    <row r="35" spans="1:5">
      <c r="A35" s="48">
        <v>83</v>
      </c>
      <c r="B35" s="49">
        <v>296.64</v>
      </c>
      <c r="C35" s="49">
        <v>325.48</v>
      </c>
      <c r="D35" s="49">
        <v>227.63</v>
      </c>
      <c r="E35" s="49">
        <v>278.27999999999997</v>
      </c>
    </row>
    <row r="36" spans="1:5">
      <c r="A36" s="48">
        <v>84</v>
      </c>
      <c r="B36" s="49">
        <v>307.97000000000003</v>
      </c>
      <c r="C36" s="49">
        <v>336.06</v>
      </c>
      <c r="D36" s="49">
        <v>241.02</v>
      </c>
      <c r="E36" s="49">
        <v>301.39</v>
      </c>
    </row>
    <row r="37" spans="1:5">
      <c r="A37" s="48">
        <v>85</v>
      </c>
      <c r="B37" s="49">
        <v>312.35000000000002</v>
      </c>
      <c r="C37" s="49">
        <v>359.73</v>
      </c>
      <c r="D37" s="49">
        <v>248.49</v>
      </c>
      <c r="E37" s="49">
        <v>328.83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0AFE1-01B3-4DA1-AB75-33566BDB67BE}">
  <dimension ref="A1:E37"/>
  <sheetViews>
    <sheetView workbookViewId="0">
      <selection activeCell="B25" sqref="B25"/>
    </sheetView>
  </sheetViews>
  <sheetFormatPr defaultRowHeight="15"/>
  <cols>
    <col min="1" max="1" width="4.28515625" style="51" bestFit="1" customWidth="1"/>
    <col min="2" max="2" width="15.140625" style="51" customWidth="1"/>
    <col min="3" max="3" width="14.140625" style="51" customWidth="1"/>
    <col min="4" max="4" width="15.28515625" style="51" bestFit="1" customWidth="1"/>
    <col min="5" max="5" width="14.5703125" style="51" customWidth="1"/>
    <col min="6" max="16384" width="9.140625" style="51"/>
  </cols>
  <sheetData>
    <row r="1" spans="1:5">
      <c r="A1" s="50" t="s">
        <v>23</v>
      </c>
      <c r="B1" s="26" t="s">
        <v>31</v>
      </c>
      <c r="C1" s="27" t="s">
        <v>32</v>
      </c>
      <c r="D1" s="27" t="s">
        <v>33</v>
      </c>
      <c r="E1" s="27" t="s">
        <v>34</v>
      </c>
    </row>
    <row r="2" spans="1:5">
      <c r="A2" s="57">
        <v>50</v>
      </c>
      <c r="B2" s="52">
        <v>47.26</v>
      </c>
      <c r="C2" s="52">
        <v>71.47</v>
      </c>
      <c r="D2" s="52">
        <v>38.07</v>
      </c>
      <c r="E2" s="52">
        <v>44.57</v>
      </c>
    </row>
    <row r="3" spans="1:5">
      <c r="A3" s="58">
        <v>51</v>
      </c>
      <c r="B3" s="53">
        <v>49.51</v>
      </c>
      <c r="C3" s="53">
        <v>75.83</v>
      </c>
      <c r="D3" s="53">
        <v>40.14</v>
      </c>
      <c r="E3" s="53">
        <v>47.38</v>
      </c>
    </row>
    <row r="4" spans="1:5">
      <c r="A4" s="58">
        <v>52</v>
      </c>
      <c r="B4" s="53">
        <v>51.76</v>
      </c>
      <c r="C4" s="53">
        <v>79.540000000000006</v>
      </c>
      <c r="D4" s="53">
        <v>42.21</v>
      </c>
      <c r="E4" s="53">
        <v>49.99</v>
      </c>
    </row>
    <row r="5" spans="1:5">
      <c r="A5" s="58">
        <v>53</v>
      </c>
      <c r="B5" s="53">
        <v>54.3</v>
      </c>
      <c r="C5" s="53">
        <v>83.74</v>
      </c>
      <c r="D5" s="53">
        <v>44.55</v>
      </c>
      <c r="E5" s="53">
        <v>52.94</v>
      </c>
    </row>
    <row r="6" spans="1:5">
      <c r="A6" s="58">
        <v>54</v>
      </c>
      <c r="B6" s="53">
        <v>56.85</v>
      </c>
      <c r="C6" s="53">
        <v>87.95</v>
      </c>
      <c r="D6" s="53">
        <v>46.89</v>
      </c>
      <c r="E6" s="53">
        <v>55.9</v>
      </c>
    </row>
    <row r="7" spans="1:5">
      <c r="A7" s="58">
        <v>55</v>
      </c>
      <c r="B7" s="53">
        <v>59.1</v>
      </c>
      <c r="C7" s="53">
        <v>90.87</v>
      </c>
      <c r="D7" s="53">
        <v>49.03</v>
      </c>
      <c r="E7" s="53">
        <v>58.59</v>
      </c>
    </row>
    <row r="8" spans="1:5">
      <c r="A8" s="58">
        <v>56</v>
      </c>
      <c r="B8" s="53">
        <v>62.07</v>
      </c>
      <c r="C8" s="53">
        <v>95.45</v>
      </c>
      <c r="D8" s="53">
        <v>51.49</v>
      </c>
      <c r="E8" s="53">
        <v>62.21</v>
      </c>
    </row>
    <row r="9" spans="1:5">
      <c r="A9" s="58">
        <v>57</v>
      </c>
      <c r="B9" s="53">
        <v>65.209999999999994</v>
      </c>
      <c r="C9" s="53">
        <v>99.83</v>
      </c>
      <c r="D9" s="53">
        <v>54.09</v>
      </c>
      <c r="E9" s="53">
        <v>66.010000000000005</v>
      </c>
    </row>
    <row r="10" spans="1:5">
      <c r="A10" s="58">
        <v>58</v>
      </c>
      <c r="B10" s="53">
        <v>68.510000000000005</v>
      </c>
      <c r="C10" s="53">
        <v>104.43</v>
      </c>
      <c r="D10" s="53">
        <v>56.83</v>
      </c>
      <c r="E10" s="53">
        <v>69.69</v>
      </c>
    </row>
    <row r="11" spans="1:5">
      <c r="A11" s="58">
        <v>59</v>
      </c>
      <c r="B11" s="53">
        <v>71.959999999999994</v>
      </c>
      <c r="C11" s="53">
        <v>109.25</v>
      </c>
      <c r="D11" s="53">
        <v>59.69</v>
      </c>
      <c r="E11" s="53">
        <v>73.86</v>
      </c>
    </row>
    <row r="12" spans="1:5">
      <c r="A12" s="58">
        <v>60</v>
      </c>
      <c r="B12" s="53">
        <v>74.63</v>
      </c>
      <c r="C12" s="53">
        <v>112.46</v>
      </c>
      <c r="D12" s="53">
        <v>61.89</v>
      </c>
      <c r="E12" s="53">
        <v>77.08</v>
      </c>
    </row>
    <row r="13" spans="1:5">
      <c r="A13" s="58">
        <v>61</v>
      </c>
      <c r="B13" s="53">
        <v>79.19</v>
      </c>
      <c r="C13" s="53">
        <v>118.79</v>
      </c>
      <c r="D13" s="53">
        <v>65.67</v>
      </c>
      <c r="E13" s="53">
        <v>82.57</v>
      </c>
    </row>
    <row r="14" spans="1:5">
      <c r="A14" s="58">
        <v>62</v>
      </c>
      <c r="B14" s="53">
        <v>84.22</v>
      </c>
      <c r="C14" s="53">
        <v>125.76</v>
      </c>
      <c r="D14" s="53">
        <v>69.819999999999993</v>
      </c>
      <c r="E14" s="53">
        <v>88.62</v>
      </c>
    </row>
    <row r="15" spans="1:5">
      <c r="A15" s="58">
        <v>63</v>
      </c>
      <c r="B15" s="53">
        <v>89.4</v>
      </c>
      <c r="C15" s="53">
        <v>132.96</v>
      </c>
      <c r="D15" s="53">
        <v>74.12</v>
      </c>
      <c r="E15" s="53">
        <v>94.87</v>
      </c>
    </row>
    <row r="16" spans="1:5">
      <c r="A16" s="58">
        <v>64</v>
      </c>
      <c r="B16" s="53">
        <v>94.44</v>
      </c>
      <c r="C16" s="53">
        <v>139.29</v>
      </c>
      <c r="D16" s="53">
        <v>78.290000000000006</v>
      </c>
      <c r="E16" s="53">
        <v>101.03</v>
      </c>
    </row>
    <row r="17" spans="1:5">
      <c r="A17" s="58">
        <v>65</v>
      </c>
      <c r="B17" s="53">
        <v>99.75</v>
      </c>
      <c r="C17" s="53">
        <v>146.59</v>
      </c>
      <c r="D17" s="53">
        <v>82.69</v>
      </c>
      <c r="E17" s="53">
        <v>107.5</v>
      </c>
    </row>
    <row r="18" spans="1:5">
      <c r="A18" s="58">
        <v>66</v>
      </c>
      <c r="B18" s="53">
        <v>106.46</v>
      </c>
      <c r="C18" s="53">
        <v>155.29</v>
      </c>
      <c r="D18" s="53">
        <v>88.61</v>
      </c>
      <c r="E18" s="53">
        <v>115.05</v>
      </c>
    </row>
    <row r="19" spans="1:5">
      <c r="A19" s="58">
        <v>67</v>
      </c>
      <c r="B19" s="53">
        <v>113.79</v>
      </c>
      <c r="C19" s="53">
        <v>165.56</v>
      </c>
      <c r="D19" s="53">
        <v>94.65</v>
      </c>
      <c r="E19" s="53">
        <v>122.74</v>
      </c>
    </row>
    <row r="20" spans="1:5">
      <c r="A20" s="58">
        <v>68</v>
      </c>
      <c r="B20" s="53">
        <v>121.62</v>
      </c>
      <c r="C20" s="53">
        <v>175.74</v>
      </c>
      <c r="D20" s="53">
        <v>100.62</v>
      </c>
      <c r="E20" s="53">
        <v>130.30000000000001</v>
      </c>
    </row>
    <row r="21" spans="1:5">
      <c r="A21" s="58">
        <v>69</v>
      </c>
      <c r="B21" s="53">
        <v>129.47999999999999</v>
      </c>
      <c r="C21" s="53">
        <v>185.9</v>
      </c>
      <c r="D21" s="53">
        <v>106.56</v>
      </c>
      <c r="E21" s="53">
        <v>139.72</v>
      </c>
    </row>
    <row r="22" spans="1:5">
      <c r="A22" s="58">
        <v>70</v>
      </c>
      <c r="B22" s="53">
        <v>133.19999999999999</v>
      </c>
      <c r="C22" s="53">
        <v>190.71</v>
      </c>
      <c r="D22" s="53">
        <v>109.08</v>
      </c>
      <c r="E22" s="53">
        <v>143.88999999999999</v>
      </c>
    </row>
    <row r="23" spans="1:5">
      <c r="A23" s="58">
        <v>71</v>
      </c>
      <c r="B23" s="53">
        <v>141.58000000000001</v>
      </c>
      <c r="C23" s="53">
        <v>201.14</v>
      </c>
      <c r="D23" s="53">
        <v>115.89</v>
      </c>
      <c r="E23" s="53">
        <v>152.54</v>
      </c>
    </row>
    <row r="24" spans="1:5">
      <c r="A24" s="58">
        <v>72</v>
      </c>
      <c r="B24" s="53">
        <v>151.05000000000001</v>
      </c>
      <c r="C24" s="53">
        <v>212.92</v>
      </c>
      <c r="D24" s="53">
        <v>123.58</v>
      </c>
      <c r="E24" s="53">
        <v>162.31</v>
      </c>
    </row>
    <row r="25" spans="1:5">
      <c r="A25" s="58">
        <v>73</v>
      </c>
      <c r="B25" s="53">
        <v>161.15</v>
      </c>
      <c r="C25" s="53">
        <v>225.91</v>
      </c>
      <c r="D25" s="53">
        <v>131.78</v>
      </c>
      <c r="E25" s="53">
        <v>173.52</v>
      </c>
    </row>
    <row r="26" spans="1:5">
      <c r="A26" s="58">
        <v>74</v>
      </c>
      <c r="B26" s="53">
        <v>170.68</v>
      </c>
      <c r="C26" s="53">
        <v>238.15</v>
      </c>
      <c r="D26" s="53">
        <v>139.52000000000001</v>
      </c>
      <c r="E26" s="53">
        <v>184.95</v>
      </c>
    </row>
    <row r="27" spans="1:5">
      <c r="A27" s="58">
        <v>75</v>
      </c>
      <c r="B27" s="53">
        <v>183.24</v>
      </c>
      <c r="C27" s="53">
        <v>255.41</v>
      </c>
      <c r="D27" s="53">
        <v>149.72999999999999</v>
      </c>
      <c r="E27" s="53">
        <v>199.91</v>
      </c>
    </row>
    <row r="28" spans="1:5">
      <c r="A28" s="58">
        <v>76</v>
      </c>
      <c r="B28" s="53">
        <v>197.86</v>
      </c>
      <c r="C28" s="53">
        <v>271.5</v>
      </c>
      <c r="D28" s="53">
        <v>160.46</v>
      </c>
      <c r="E28" s="53">
        <v>219.34</v>
      </c>
    </row>
    <row r="29" spans="1:5">
      <c r="A29" s="58">
        <v>77</v>
      </c>
      <c r="B29" s="53">
        <v>215.62</v>
      </c>
      <c r="C29" s="53">
        <v>280.95999999999998</v>
      </c>
      <c r="D29" s="53">
        <v>166.36</v>
      </c>
      <c r="E29" s="53">
        <v>229.32</v>
      </c>
    </row>
    <row r="30" spans="1:5">
      <c r="A30" s="58">
        <v>78</v>
      </c>
      <c r="B30" s="53">
        <v>234.14</v>
      </c>
      <c r="C30" s="53">
        <v>299.45</v>
      </c>
      <c r="D30" s="53">
        <v>177.92</v>
      </c>
      <c r="E30" s="53">
        <v>248.83</v>
      </c>
    </row>
    <row r="31" spans="1:5">
      <c r="A31" s="58">
        <v>79</v>
      </c>
      <c r="B31" s="53">
        <v>253.37</v>
      </c>
      <c r="C31" s="53">
        <v>319.42</v>
      </c>
      <c r="D31" s="53">
        <v>190.4</v>
      </c>
      <c r="E31" s="53">
        <v>268.69</v>
      </c>
    </row>
    <row r="32" spans="1:5">
      <c r="A32" s="58">
        <v>80</v>
      </c>
      <c r="B32" s="53">
        <v>271.98</v>
      </c>
      <c r="C32" s="53">
        <v>337.76</v>
      </c>
      <c r="D32" s="53">
        <v>203.79</v>
      </c>
      <c r="E32" s="53">
        <v>287.23</v>
      </c>
    </row>
    <row r="33" spans="1:5">
      <c r="A33" s="58">
        <v>81</v>
      </c>
      <c r="B33" s="53">
        <v>287.61</v>
      </c>
      <c r="C33" s="53">
        <v>362.12</v>
      </c>
      <c r="D33" s="53">
        <v>219.16</v>
      </c>
      <c r="E33" s="53">
        <v>312.70999999999998</v>
      </c>
    </row>
    <row r="34" spans="1:5">
      <c r="A34" s="58">
        <v>82</v>
      </c>
      <c r="B34" s="53">
        <v>303.16000000000003</v>
      </c>
      <c r="C34" s="53">
        <v>389.82</v>
      </c>
      <c r="D34" s="53">
        <v>234.41</v>
      </c>
      <c r="E34" s="53">
        <v>341.67</v>
      </c>
    </row>
    <row r="35" spans="1:5">
      <c r="A35" s="58">
        <v>83</v>
      </c>
      <c r="B35" s="53">
        <v>319.58</v>
      </c>
      <c r="C35" s="53">
        <v>415.13</v>
      </c>
      <c r="D35" s="53">
        <v>250.24</v>
      </c>
      <c r="E35" s="53">
        <v>372.16</v>
      </c>
    </row>
    <row r="36" spans="1:5">
      <c r="A36" s="58">
        <v>84</v>
      </c>
      <c r="B36" s="53">
        <v>347.84</v>
      </c>
      <c r="C36" s="53">
        <v>448.15</v>
      </c>
      <c r="D36" s="53">
        <v>270.85000000000002</v>
      </c>
      <c r="E36" s="53">
        <v>406.99</v>
      </c>
    </row>
    <row r="37" spans="1:5">
      <c r="A37" s="58">
        <v>85</v>
      </c>
      <c r="B37" s="53">
        <v>381.41</v>
      </c>
      <c r="C37" s="53">
        <v>487.35</v>
      </c>
      <c r="D37" s="53">
        <v>295.31</v>
      </c>
      <c r="E37" s="53">
        <v>448.38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2025-12-09T01:59:38Z</dcterms:created>
  <dcterms:modified xsi:type="dcterms:W3CDTF">2025-12-15T08:49:59Z</dcterms:modified>
  <cp:category/>
  <cp:contentStatus/>
</cp:coreProperties>
</file>